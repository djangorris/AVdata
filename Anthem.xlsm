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gag0papnas001b\dept2\ActuarialPricing\2018_Pricing\Filing\URRT\STATE TEMPLATES\CO\1Q\"/>
    </mc:Choice>
  </mc:AlternateContent>
  <bookViews>
    <workbookView xWindow="120" yWindow="585" windowWidth="12120" windowHeight="4350"/>
  </bookViews>
  <sheets>
    <sheet name="Wksh 1 - Market Experience" sheetId="1" r:id="rId1"/>
    <sheet name="Wksh 2 - Plan Product Info" sheetId="13" r:id="rId2"/>
    <sheet name="PlanTemplate" sheetId="15" state="hidden" r:id="rId3"/>
    <sheet name="XMLOutput" sheetId="17" state="hidden" r:id="rId4"/>
  </sheets>
  <functionGroups builtInGroupCount="18"/>
  <definedNames>
    <definedName name="CategoryList">PlanTemplate!$O$12:$O$14</definedName>
    <definedName name="DataEntryBlock">PlanTemplate!$G$12:$G$101</definedName>
    <definedName name="FormulaBlock">PlanTemplate!$F$34:$F$101</definedName>
    <definedName name="_xlnm.Print_Area" localSheetId="2">PlanTemplate!$E$1:$AA$101</definedName>
    <definedName name="_xlnm.Print_Area" localSheetId="0">'Wksh 1 - Market Experience'!$A$1:$Y$50</definedName>
    <definedName name="_xlnm.Print_Area" localSheetId="1">'Wksh 2 - Plan Product Info'!$E$1:$Z$97</definedName>
    <definedName name="ProductYears">#REF!</definedName>
    <definedName name="ProductYearsSG">#REF!</definedName>
    <definedName name="StateList">PlanTemplate!$N$12:$N$67</definedName>
    <definedName name="Util_No_ADB">PlanTemplate!$K$12:$K$15</definedName>
    <definedName name="Util_No_ADP">PlanTemplate!$J$12:$J$15</definedName>
    <definedName name="Util_No_ADPB">PlanTemplate!$L$12:$L$14</definedName>
    <definedName name="Util_No_PB">PlanTemplate!$M$12:$M$16</definedName>
  </definedNames>
  <calcPr calcId="152511"/>
</workbook>
</file>

<file path=xl/calcChain.xml><?xml version="1.0" encoding="utf-8"?>
<calcChain xmlns="http://schemas.openxmlformats.org/spreadsheetml/2006/main">
  <c r="F97" i="13" l="1"/>
  <c r="F96" i="13"/>
  <c r="F92" i="13"/>
  <c r="F93" i="13" s="1"/>
  <c r="F91" i="13"/>
  <c r="F89" i="13"/>
  <c r="F88" i="13"/>
  <c r="F90" i="13" s="1"/>
  <c r="F87" i="13"/>
  <c r="F85" i="13"/>
  <c r="F84" i="13"/>
  <c r="F86" i="13" s="1"/>
  <c r="F83" i="13"/>
  <c r="F71" i="13"/>
  <c r="F70" i="13"/>
  <c r="F67" i="13"/>
  <c r="F66" i="13"/>
  <c r="F65" i="13"/>
  <c r="F63" i="13"/>
  <c r="F64" i="13" s="1"/>
  <c r="F62" i="13"/>
  <c r="F61" i="13"/>
  <c r="F59" i="13"/>
  <c r="F60" i="13" s="1"/>
  <c r="F58" i="13"/>
  <c r="F57" i="13"/>
  <c r="F56" i="13"/>
  <c r="F37" i="13" s="1"/>
  <c r="F55" i="13"/>
  <c r="F54" i="13"/>
  <c r="F80" i="13" s="1"/>
  <c r="F48" i="13"/>
  <c r="F47" i="13"/>
  <c r="F41" i="13"/>
  <c r="AK29" i="13" a="1"/>
  <c r="AK29" i="13" s="1"/>
  <c r="AL94" i="13"/>
  <c r="AL99" i="13" s="1"/>
  <c r="AL93" i="13"/>
  <c r="AL90" i="13"/>
  <c r="AL86" i="13"/>
  <c r="AL82" i="13"/>
  <c r="AL100" i="13" s="1"/>
  <c r="AL101" i="13" s="1"/>
  <c r="AL74" i="13"/>
  <c r="AL75" i="13" s="1"/>
  <c r="AL68" i="13"/>
  <c r="AL73" i="13" s="1"/>
  <c r="AL67" i="13"/>
  <c r="AL64" i="13"/>
  <c r="AL60" i="13"/>
  <c r="AL43" i="13"/>
  <c r="AL33" i="13"/>
  <c r="AL54" i="13" s="1"/>
  <c r="AL80" i="13" s="1"/>
  <c r="AL28" i="13"/>
  <c r="AK94" i="13"/>
  <c r="AK99" i="13" s="1"/>
  <c r="AK93" i="13"/>
  <c r="AK90" i="13"/>
  <c r="AK86" i="13"/>
  <c r="AK82" i="13"/>
  <c r="AK100" i="13" s="1"/>
  <c r="AK101" i="13" s="1"/>
  <c r="AK74" i="13"/>
  <c r="AK75" i="13" s="1"/>
  <c r="AK68" i="13"/>
  <c r="AK73" i="13" s="1"/>
  <c r="AK67" i="13"/>
  <c r="AK64" i="13"/>
  <c r="AK60" i="13"/>
  <c r="AK43" i="13"/>
  <c r="AK33" i="13"/>
  <c r="AK54" i="13" s="1"/>
  <c r="AK80" i="13" s="1"/>
  <c r="AK28" i="13"/>
  <c r="AF29" i="13" a="1"/>
  <c r="AF29" i="13" s="1"/>
  <c r="AJ94" i="13"/>
  <c r="AJ99" i="13" s="1"/>
  <c r="AJ93" i="13"/>
  <c r="AJ90" i="13"/>
  <c r="AJ86" i="13"/>
  <c r="AJ82" i="13"/>
  <c r="AJ100" i="13" s="1"/>
  <c r="AJ101" i="13" s="1"/>
  <c r="AJ74" i="13"/>
  <c r="AJ75" i="13" s="1"/>
  <c r="AJ68" i="13"/>
  <c r="AJ73" i="13" s="1"/>
  <c r="AJ67" i="13"/>
  <c r="AJ64" i="13"/>
  <c r="AJ60" i="13"/>
  <c r="AJ43" i="13"/>
  <c r="AJ33" i="13"/>
  <c r="AJ54" i="13" s="1"/>
  <c r="AJ80" i="13" s="1"/>
  <c r="AJ28" i="13"/>
  <c r="AI94" i="13"/>
  <c r="AI99" i="13" s="1"/>
  <c r="AI93" i="13"/>
  <c r="AI90" i="13"/>
  <c r="AI86" i="13"/>
  <c r="AI82" i="13"/>
  <c r="AI100" i="13" s="1"/>
  <c r="AI101" i="13" s="1"/>
  <c r="AI74" i="13"/>
  <c r="AI75" i="13" s="1"/>
  <c r="AI68" i="13"/>
  <c r="AI73" i="13" s="1"/>
  <c r="AI67" i="13"/>
  <c r="AI64" i="13"/>
  <c r="AI60" i="13"/>
  <c r="AI43" i="13"/>
  <c r="AI33" i="13"/>
  <c r="AI54" i="13" s="1"/>
  <c r="AI80" i="13" s="1"/>
  <c r="AI28" i="13"/>
  <c r="AH100" i="13"/>
  <c r="AH101" i="13" s="1"/>
  <c r="AH99" i="13"/>
  <c r="AH94" i="13"/>
  <c r="AH93" i="13"/>
  <c r="AH90" i="13"/>
  <c r="AH86" i="13"/>
  <c r="AH82" i="13"/>
  <c r="AH74" i="13"/>
  <c r="AH75" i="13" s="1"/>
  <c r="AH68" i="13"/>
  <c r="AH73" i="13" s="1"/>
  <c r="AH67" i="13"/>
  <c r="AH64" i="13"/>
  <c r="AH60" i="13"/>
  <c r="AH54" i="13"/>
  <c r="AH80" i="13" s="1"/>
  <c r="AH43" i="13"/>
  <c r="AH33" i="13"/>
  <c r="AH28" i="13"/>
  <c r="AG100" i="13"/>
  <c r="AG101" i="13" s="1"/>
  <c r="AG94" i="13"/>
  <c r="AG99" i="13" s="1"/>
  <c r="AG93" i="13"/>
  <c r="AG90" i="13"/>
  <c r="AG86" i="13"/>
  <c r="AG82" i="13"/>
  <c r="AG74" i="13"/>
  <c r="AG75" i="13" s="1"/>
  <c r="AG68" i="13"/>
  <c r="AG73" i="13" s="1"/>
  <c r="AG67" i="13"/>
  <c r="AG64" i="13"/>
  <c r="AG60" i="13"/>
  <c r="AG54" i="13"/>
  <c r="AG80" i="13" s="1"/>
  <c r="AG43" i="13"/>
  <c r="AG33" i="13"/>
  <c r="AG28" i="13"/>
  <c r="AF94" i="13"/>
  <c r="AF99" i="13" s="1"/>
  <c r="AF93" i="13"/>
  <c r="AF90" i="13"/>
  <c r="AF86" i="13"/>
  <c r="AF82" i="13"/>
  <c r="AF100" i="13" s="1"/>
  <c r="AF101" i="13" s="1"/>
  <c r="AF74" i="13"/>
  <c r="AF75" i="13" s="1"/>
  <c r="AF68" i="13"/>
  <c r="AF73" i="13" s="1"/>
  <c r="AF67" i="13"/>
  <c r="AF64" i="13"/>
  <c r="AF60" i="13"/>
  <c r="AF43" i="13"/>
  <c r="AF33" i="13"/>
  <c r="AF54" i="13" s="1"/>
  <c r="AF80" i="13" s="1"/>
  <c r="AF28" i="13"/>
  <c r="G29" i="13" a="1"/>
  <c r="G29" i="13" s="1"/>
  <c r="AE94" i="13"/>
  <c r="AE99" i="13" s="1"/>
  <c r="AE93" i="13"/>
  <c r="AE90" i="13"/>
  <c r="AE86" i="13"/>
  <c r="AE82" i="13"/>
  <c r="AE100" i="13" s="1"/>
  <c r="AE101" i="13" s="1"/>
  <c r="AE74" i="13"/>
  <c r="AE75" i="13" s="1"/>
  <c r="AE68" i="13"/>
  <c r="AE73" i="13" s="1"/>
  <c r="AE67" i="13"/>
  <c r="AE64" i="13"/>
  <c r="AE60" i="13"/>
  <c r="AE43" i="13"/>
  <c r="AE33" i="13"/>
  <c r="AE54" i="13" s="1"/>
  <c r="AE80" i="13" s="1"/>
  <c r="AE28" i="13"/>
  <c r="AD99" i="13"/>
  <c r="AD94" i="13"/>
  <c r="AD93" i="13"/>
  <c r="AD90" i="13"/>
  <c r="AD86" i="13"/>
  <c r="AD82" i="13"/>
  <c r="AD100" i="13" s="1"/>
  <c r="AD101" i="13" s="1"/>
  <c r="AD74" i="13"/>
  <c r="AD75" i="13" s="1"/>
  <c r="AD68" i="13"/>
  <c r="AD73" i="13" s="1"/>
  <c r="AD67" i="13"/>
  <c r="AD64" i="13"/>
  <c r="AD60" i="13"/>
  <c r="AD43" i="13"/>
  <c r="AD33" i="13"/>
  <c r="AD54" i="13" s="1"/>
  <c r="AD80" i="13" s="1"/>
  <c r="AD28" i="13"/>
  <c r="AC94" i="13"/>
  <c r="AC99" i="13" s="1"/>
  <c r="AC93" i="13"/>
  <c r="AC90" i="13"/>
  <c r="AC86" i="13"/>
  <c r="AC82" i="13"/>
  <c r="AC100" i="13" s="1"/>
  <c r="AC101" i="13" s="1"/>
  <c r="AC74" i="13"/>
  <c r="AC75" i="13" s="1"/>
  <c r="AC68" i="13"/>
  <c r="AC73" i="13" s="1"/>
  <c r="AC67" i="13"/>
  <c r="AC64" i="13"/>
  <c r="AC60" i="13"/>
  <c r="AC43" i="13"/>
  <c r="AC33" i="13"/>
  <c r="AC54" i="13" s="1"/>
  <c r="AC80" i="13" s="1"/>
  <c r="AC28" i="13"/>
  <c r="AB99" i="13"/>
  <c r="AB94" i="13"/>
  <c r="AB93" i="13"/>
  <c r="AB90" i="13"/>
  <c r="AB86" i="13"/>
  <c r="AB82" i="13"/>
  <c r="AB100" i="13" s="1"/>
  <c r="AB101" i="13" s="1"/>
  <c r="AB74" i="13"/>
  <c r="AB75" i="13" s="1"/>
  <c r="AB68" i="13"/>
  <c r="AB73" i="13" s="1"/>
  <c r="AB67" i="13"/>
  <c r="AB64" i="13"/>
  <c r="AB60" i="13"/>
  <c r="AB43" i="13"/>
  <c r="AB33" i="13"/>
  <c r="AB54" i="13" s="1"/>
  <c r="AB80" i="13" s="1"/>
  <c r="AB28" i="13"/>
  <c r="AA94" i="13"/>
  <c r="AA99" i="13" s="1"/>
  <c r="AA93" i="13"/>
  <c r="AA90" i="13"/>
  <c r="AA86" i="13"/>
  <c r="AA82" i="13"/>
  <c r="AA100" i="13" s="1"/>
  <c r="AA101" i="13" s="1"/>
  <c r="AA74" i="13"/>
  <c r="AA75" i="13" s="1"/>
  <c r="AA68" i="13"/>
  <c r="AA73" i="13" s="1"/>
  <c r="AA67" i="13"/>
  <c r="AA64" i="13"/>
  <c r="AA60" i="13"/>
  <c r="AA43" i="13"/>
  <c r="AA33" i="13"/>
  <c r="AA54" i="13" s="1"/>
  <c r="AA80" i="13" s="1"/>
  <c r="AA28" i="13"/>
  <c r="Z99" i="13"/>
  <c r="Z94" i="13"/>
  <c r="Z93" i="13"/>
  <c r="Z90" i="13"/>
  <c r="Z86" i="13"/>
  <c r="Z82" i="13"/>
  <c r="Z100" i="13" s="1"/>
  <c r="Z101" i="13" s="1"/>
  <c r="Z74" i="13"/>
  <c r="Z75" i="13" s="1"/>
  <c r="Z68" i="13"/>
  <c r="Z73" i="13" s="1"/>
  <c r="Z67" i="13"/>
  <c r="Z64" i="13"/>
  <c r="Z60" i="13"/>
  <c r="Z43" i="13"/>
  <c r="Z33" i="13"/>
  <c r="Z54" i="13" s="1"/>
  <c r="Z80" i="13" s="1"/>
  <c r="Z28" i="13"/>
  <c r="Y94" i="13"/>
  <c r="Y99" i="13" s="1"/>
  <c r="Y93" i="13"/>
  <c r="Y90" i="13"/>
  <c r="Y86" i="13"/>
  <c r="Y82" i="13"/>
  <c r="Y100" i="13" s="1"/>
  <c r="Y101" i="13" s="1"/>
  <c r="Y74" i="13"/>
  <c r="Y75" i="13" s="1"/>
  <c r="Y68" i="13"/>
  <c r="Y73" i="13" s="1"/>
  <c r="Y67" i="13"/>
  <c r="Y64" i="13"/>
  <c r="Y60" i="13"/>
  <c r="Y43" i="13"/>
  <c r="Y33" i="13"/>
  <c r="Y54" i="13" s="1"/>
  <c r="Y80" i="13" s="1"/>
  <c r="Y28" i="13"/>
  <c r="X99" i="13"/>
  <c r="X94" i="13"/>
  <c r="X93" i="13"/>
  <c r="X90" i="13"/>
  <c r="X86" i="13"/>
  <c r="X82" i="13"/>
  <c r="X100" i="13" s="1"/>
  <c r="X101" i="13" s="1"/>
  <c r="X74" i="13"/>
  <c r="X75" i="13" s="1"/>
  <c r="X68" i="13"/>
  <c r="X73" i="13" s="1"/>
  <c r="X67" i="13"/>
  <c r="X64" i="13"/>
  <c r="X60" i="13"/>
  <c r="X43" i="13"/>
  <c r="X33" i="13"/>
  <c r="X54" i="13" s="1"/>
  <c r="X80" i="13" s="1"/>
  <c r="X28" i="13"/>
  <c r="W94" i="13"/>
  <c r="W99" i="13" s="1"/>
  <c r="W93" i="13"/>
  <c r="W90" i="13"/>
  <c r="W86" i="13"/>
  <c r="W82" i="13"/>
  <c r="W100" i="13" s="1"/>
  <c r="W101" i="13" s="1"/>
  <c r="W74" i="13"/>
  <c r="W75" i="13" s="1"/>
  <c r="W68" i="13"/>
  <c r="W73" i="13" s="1"/>
  <c r="W67" i="13"/>
  <c r="W64" i="13"/>
  <c r="W60" i="13"/>
  <c r="W43" i="13"/>
  <c r="W33" i="13"/>
  <c r="W54" i="13" s="1"/>
  <c r="W80" i="13" s="1"/>
  <c r="W28" i="13"/>
  <c r="V99" i="13"/>
  <c r="V94" i="13"/>
  <c r="V93" i="13"/>
  <c r="V90" i="13"/>
  <c r="V86" i="13"/>
  <c r="V82" i="13"/>
  <c r="V100" i="13" s="1"/>
  <c r="V101" i="13" s="1"/>
  <c r="V74" i="13"/>
  <c r="V75" i="13" s="1"/>
  <c r="V68" i="13"/>
  <c r="V73" i="13" s="1"/>
  <c r="V67" i="13"/>
  <c r="V64" i="13"/>
  <c r="V60" i="13"/>
  <c r="V43" i="13"/>
  <c r="V33" i="13"/>
  <c r="V54" i="13" s="1"/>
  <c r="V80" i="13" s="1"/>
  <c r="V28" i="13"/>
  <c r="U94" i="13"/>
  <c r="U99" i="13" s="1"/>
  <c r="U93" i="13"/>
  <c r="U90" i="13"/>
  <c r="U86" i="13"/>
  <c r="U82" i="13"/>
  <c r="U100" i="13" s="1"/>
  <c r="U101" i="13" s="1"/>
  <c r="U74" i="13"/>
  <c r="U75" i="13" s="1"/>
  <c r="U68" i="13"/>
  <c r="U73" i="13" s="1"/>
  <c r="U67" i="13"/>
  <c r="U64" i="13"/>
  <c r="U60" i="13"/>
  <c r="U43" i="13"/>
  <c r="U33" i="13"/>
  <c r="U54" i="13" s="1"/>
  <c r="U80" i="13" s="1"/>
  <c r="U28" i="13"/>
  <c r="T99" i="13"/>
  <c r="T94" i="13"/>
  <c r="T93" i="13"/>
  <c r="T90" i="13"/>
  <c r="T86" i="13"/>
  <c r="T82" i="13"/>
  <c r="T100" i="13" s="1"/>
  <c r="T101" i="13" s="1"/>
  <c r="T74" i="13"/>
  <c r="T75" i="13" s="1"/>
  <c r="T68" i="13"/>
  <c r="T73" i="13" s="1"/>
  <c r="T67" i="13"/>
  <c r="T64" i="13"/>
  <c r="T60" i="13"/>
  <c r="T43" i="13"/>
  <c r="T33" i="13"/>
  <c r="T54" i="13" s="1"/>
  <c r="T80" i="13" s="1"/>
  <c r="T28" i="13"/>
  <c r="S94" i="13"/>
  <c r="S99" i="13" s="1"/>
  <c r="S93" i="13"/>
  <c r="S90" i="13"/>
  <c r="S86" i="13"/>
  <c r="S82" i="13"/>
  <c r="S100" i="13" s="1"/>
  <c r="S101" i="13" s="1"/>
  <c r="S74" i="13"/>
  <c r="S75" i="13" s="1"/>
  <c r="S68" i="13"/>
  <c r="S73" i="13" s="1"/>
  <c r="S67" i="13"/>
  <c r="S64" i="13"/>
  <c r="S60" i="13"/>
  <c r="S43" i="13"/>
  <c r="S33" i="13"/>
  <c r="S54" i="13" s="1"/>
  <c r="S80" i="13" s="1"/>
  <c r="S28" i="13"/>
  <c r="R99" i="13"/>
  <c r="R94" i="13"/>
  <c r="R93" i="13"/>
  <c r="R90" i="13"/>
  <c r="R86" i="13"/>
  <c r="R82" i="13"/>
  <c r="R100" i="13" s="1"/>
  <c r="R101" i="13" s="1"/>
  <c r="R74" i="13"/>
  <c r="R75" i="13" s="1"/>
  <c r="R68" i="13"/>
  <c r="R73" i="13" s="1"/>
  <c r="R67" i="13"/>
  <c r="R64" i="13"/>
  <c r="R60" i="13"/>
  <c r="R43" i="13"/>
  <c r="R33" i="13"/>
  <c r="R54" i="13" s="1"/>
  <c r="R80" i="13" s="1"/>
  <c r="R28" i="13"/>
  <c r="Q94" i="13"/>
  <c r="Q99" i="13" s="1"/>
  <c r="Q93" i="13"/>
  <c r="Q90" i="13"/>
  <c r="Q86" i="13"/>
  <c r="Q82" i="13"/>
  <c r="Q100" i="13" s="1"/>
  <c r="Q101" i="13" s="1"/>
  <c r="Q74" i="13"/>
  <c r="Q75" i="13" s="1"/>
  <c r="Q68" i="13"/>
  <c r="Q73" i="13" s="1"/>
  <c r="Q67" i="13"/>
  <c r="Q64" i="13"/>
  <c r="Q60" i="13"/>
  <c r="Q43" i="13"/>
  <c r="Q33" i="13"/>
  <c r="Q54" i="13" s="1"/>
  <c r="Q80" i="13" s="1"/>
  <c r="Q28" i="13"/>
  <c r="P99" i="13"/>
  <c r="P94" i="13"/>
  <c r="P93" i="13"/>
  <c r="P90" i="13"/>
  <c r="P86" i="13"/>
  <c r="P82" i="13"/>
  <c r="P100" i="13" s="1"/>
  <c r="P101" i="13" s="1"/>
  <c r="P74" i="13"/>
  <c r="P75" i="13" s="1"/>
  <c r="P68" i="13"/>
  <c r="P73" i="13" s="1"/>
  <c r="P67" i="13"/>
  <c r="P64" i="13"/>
  <c r="P60" i="13"/>
  <c r="P43" i="13"/>
  <c r="P33" i="13"/>
  <c r="P54" i="13" s="1"/>
  <c r="P80" i="13" s="1"/>
  <c r="P28" i="13"/>
  <c r="O94" i="13"/>
  <c r="O99" i="13" s="1"/>
  <c r="O93" i="13"/>
  <c r="O90" i="13"/>
  <c r="O86" i="13"/>
  <c r="O82" i="13"/>
  <c r="O100" i="13" s="1"/>
  <c r="O101" i="13" s="1"/>
  <c r="O74" i="13"/>
  <c r="O75" i="13" s="1"/>
  <c r="O68" i="13"/>
  <c r="O73" i="13" s="1"/>
  <c r="O67" i="13"/>
  <c r="O64" i="13"/>
  <c r="O60" i="13"/>
  <c r="O43" i="13"/>
  <c r="O33" i="13"/>
  <c r="O54" i="13" s="1"/>
  <c r="O80" i="13" s="1"/>
  <c r="O28" i="13"/>
  <c r="N99" i="13"/>
  <c r="N94" i="13"/>
  <c r="N93" i="13"/>
  <c r="N90" i="13"/>
  <c r="N86" i="13"/>
  <c r="N82" i="13"/>
  <c r="N100" i="13" s="1"/>
  <c r="N101" i="13" s="1"/>
  <c r="N74" i="13"/>
  <c r="N75" i="13" s="1"/>
  <c r="N68" i="13"/>
  <c r="N73" i="13" s="1"/>
  <c r="N67" i="13"/>
  <c r="N64" i="13"/>
  <c r="N60" i="13"/>
  <c r="N43" i="13"/>
  <c r="N33" i="13"/>
  <c r="N54" i="13" s="1"/>
  <c r="N80" i="13" s="1"/>
  <c r="N28" i="13"/>
  <c r="M94" i="13"/>
  <c r="M99" i="13" s="1"/>
  <c r="M93" i="13"/>
  <c r="M90" i="13"/>
  <c r="M86" i="13"/>
  <c r="M82" i="13"/>
  <c r="M100" i="13" s="1"/>
  <c r="M101" i="13" s="1"/>
  <c r="M74" i="13"/>
  <c r="M75" i="13" s="1"/>
  <c r="M68" i="13"/>
  <c r="M73" i="13" s="1"/>
  <c r="M67" i="13"/>
  <c r="M64" i="13"/>
  <c r="M60" i="13"/>
  <c r="M43" i="13"/>
  <c r="M33" i="13"/>
  <c r="M54" i="13" s="1"/>
  <c r="M80" i="13" s="1"/>
  <c r="M28" i="13"/>
  <c r="L99" i="13"/>
  <c r="L94" i="13"/>
  <c r="L93" i="13"/>
  <c r="L90" i="13"/>
  <c r="L86" i="13"/>
  <c r="L82" i="13"/>
  <c r="L100" i="13" s="1"/>
  <c r="L101" i="13" s="1"/>
  <c r="L74" i="13"/>
  <c r="L75" i="13" s="1"/>
  <c r="L68" i="13"/>
  <c r="L73" i="13" s="1"/>
  <c r="L67" i="13"/>
  <c r="L64" i="13"/>
  <c r="L60" i="13"/>
  <c r="L43" i="13"/>
  <c r="L33" i="13"/>
  <c r="L54" i="13" s="1"/>
  <c r="L80" i="13" s="1"/>
  <c r="L28" i="13"/>
  <c r="K94" i="13"/>
  <c r="K99" i="13" s="1"/>
  <c r="K93" i="13"/>
  <c r="K90" i="13"/>
  <c r="K86" i="13"/>
  <c r="K82" i="13"/>
  <c r="K100" i="13" s="1"/>
  <c r="K101" i="13" s="1"/>
  <c r="K74" i="13"/>
  <c r="K75" i="13" s="1"/>
  <c r="K68" i="13"/>
  <c r="K73" i="13" s="1"/>
  <c r="K67" i="13"/>
  <c r="K64" i="13"/>
  <c r="K60" i="13"/>
  <c r="K43" i="13"/>
  <c r="K33" i="13"/>
  <c r="K54" i="13" s="1"/>
  <c r="K80" i="13" s="1"/>
  <c r="K28" i="13"/>
  <c r="J99" i="13"/>
  <c r="J94" i="13"/>
  <c r="J93" i="13"/>
  <c r="J90" i="13"/>
  <c r="J86" i="13"/>
  <c r="J82" i="13"/>
  <c r="J100" i="13" s="1"/>
  <c r="J101" i="13" s="1"/>
  <c r="J74" i="13"/>
  <c r="J75" i="13" s="1"/>
  <c r="J68" i="13"/>
  <c r="J73" i="13" s="1"/>
  <c r="J67" i="13"/>
  <c r="J64" i="13"/>
  <c r="J60" i="13"/>
  <c r="J43" i="13"/>
  <c r="J33" i="13"/>
  <c r="J54" i="13" s="1"/>
  <c r="J80" i="13" s="1"/>
  <c r="J28" i="13"/>
  <c r="I94" i="13"/>
  <c r="I99" i="13" s="1"/>
  <c r="I93" i="13"/>
  <c r="I90" i="13"/>
  <c r="I86" i="13"/>
  <c r="I82" i="13"/>
  <c r="I100" i="13" s="1"/>
  <c r="I101" i="13" s="1"/>
  <c r="I74" i="13"/>
  <c r="I75" i="13" s="1"/>
  <c r="I68" i="13"/>
  <c r="I73" i="13" s="1"/>
  <c r="I67" i="13"/>
  <c r="I64" i="13"/>
  <c r="I60" i="13"/>
  <c r="I43" i="13"/>
  <c r="I33" i="13"/>
  <c r="I54" i="13" s="1"/>
  <c r="I80" i="13" s="1"/>
  <c r="I28" i="13"/>
  <c r="H99" i="13"/>
  <c r="H94" i="13"/>
  <c r="H93" i="13"/>
  <c r="H90" i="13"/>
  <c r="H86" i="13"/>
  <c r="H82" i="13"/>
  <c r="H100" i="13" s="1"/>
  <c r="H101" i="13" s="1"/>
  <c r="H74" i="13"/>
  <c r="H75" i="13" s="1"/>
  <c r="H68" i="13"/>
  <c r="H73" i="13" s="1"/>
  <c r="H67" i="13"/>
  <c r="H64" i="13"/>
  <c r="H60" i="13"/>
  <c r="H43" i="13"/>
  <c r="H33" i="13"/>
  <c r="H54" i="13" s="1"/>
  <c r="H80" i="13" s="1"/>
  <c r="H28" i="13"/>
  <c r="G94" i="13"/>
  <c r="G93" i="13"/>
  <c r="G90" i="13"/>
  <c r="G86" i="13"/>
  <c r="G82" i="13"/>
  <c r="G100" i="13" s="1"/>
  <c r="G101" i="13" s="1"/>
  <c r="G74" i="13"/>
  <c r="G75" i="13" s="1"/>
  <c r="G68" i="13"/>
  <c r="G67" i="13"/>
  <c r="G64" i="13"/>
  <c r="G60" i="13"/>
  <c r="G43" i="13"/>
  <c r="G33" i="13"/>
  <c r="G54" i="13" s="1"/>
  <c r="G80" i="13" s="1"/>
  <c r="G28" i="13"/>
  <c r="F94" i="13" l="1"/>
  <c r="F68" i="13"/>
  <c r="F73" i="13" s="1"/>
  <c r="F43" i="13"/>
  <c r="G99" i="13"/>
  <c r="G73" i="13"/>
  <c r="F36" i="13"/>
  <c r="F40" i="13"/>
  <c r="F44" i="13"/>
  <c r="F81" i="13"/>
  <c r="F74" i="13"/>
  <c r="F75" i="13" s="1"/>
  <c r="F82" i="13"/>
  <c r="F34" i="13"/>
  <c r="F38" i="13"/>
  <c r="F42" i="13"/>
  <c r="F35" i="13"/>
  <c r="F39" i="13"/>
  <c r="Q4" i="13"/>
  <c r="Q3" i="13"/>
  <c r="X37" i="1" l="1"/>
  <c r="H5" i="13" l="1"/>
  <c r="H4" i="13"/>
  <c r="H3" i="13"/>
  <c r="I3" i="15"/>
  <c r="Q3" i="15"/>
  <c r="I4" i="15"/>
  <c r="Q4" i="15"/>
  <c r="I5" i="15"/>
  <c r="G33" i="15"/>
  <c r="G54" i="15" s="1"/>
  <c r="G80" i="15" s="1"/>
  <c r="G43" i="15"/>
  <c r="F47" i="15"/>
  <c r="F48" i="15"/>
  <c r="F54" i="15"/>
  <c r="F80" i="15" s="1"/>
  <c r="F55" i="15"/>
  <c r="B56" i="15"/>
  <c r="F56" i="15"/>
  <c r="F44" i="15" s="1"/>
  <c r="B57" i="15"/>
  <c r="G60" i="15"/>
  <c r="B61" i="15"/>
  <c r="F61" i="15"/>
  <c r="F62" i="15" s="1"/>
  <c r="G64" i="15"/>
  <c r="F65" i="15"/>
  <c r="F66" i="15"/>
  <c r="G67" i="15"/>
  <c r="B68" i="15"/>
  <c r="G68" i="15"/>
  <c r="G73" i="15" s="1"/>
  <c r="F70" i="15"/>
  <c r="F71" i="15"/>
  <c r="G74" i="15"/>
  <c r="G75" i="15" s="1"/>
  <c r="B82" i="15"/>
  <c r="G82" i="15"/>
  <c r="F82" i="15" s="1"/>
  <c r="G86" i="15"/>
  <c r="F87" i="15"/>
  <c r="F89" i="15" s="1"/>
  <c r="G90" i="15"/>
  <c r="F91" i="15"/>
  <c r="F92" i="15"/>
  <c r="G93" i="15"/>
  <c r="G94" i="15"/>
  <c r="F96" i="15"/>
  <c r="F97" i="15"/>
  <c r="B56" i="13"/>
  <c r="A56" i="13" s="1"/>
  <c r="B57" i="13"/>
  <c r="A57" i="13" s="1"/>
  <c r="B61" i="13"/>
  <c r="A61" i="13" s="1"/>
  <c r="B68" i="13"/>
  <c r="A68" i="13" s="1"/>
  <c r="B82" i="13"/>
  <c r="G12" i="1"/>
  <c r="G14" i="1"/>
  <c r="B55" i="15" s="1"/>
  <c r="G15" i="1"/>
  <c r="B73" i="15" s="1"/>
  <c r="G16" i="1"/>
  <c r="B74" i="13" s="1"/>
  <c r="A74" i="13" s="1"/>
  <c r="L21" i="1"/>
  <c r="H24" i="1"/>
  <c r="T24" i="1"/>
  <c r="H25" i="1"/>
  <c r="T25" i="1"/>
  <c r="H26" i="1"/>
  <c r="T26" i="1"/>
  <c r="H27" i="1"/>
  <c r="T27" i="1"/>
  <c r="H28" i="1"/>
  <c r="T28" i="1"/>
  <c r="H29" i="1"/>
  <c r="T29" i="1"/>
  <c r="T32" i="1"/>
  <c r="X35" i="1"/>
  <c r="B96" i="13"/>
  <c r="A96" i="13" s="1"/>
  <c r="O21" i="1" l="1"/>
  <c r="T21" i="1" s="1"/>
  <c r="G99" i="15"/>
  <c r="A82" i="13"/>
  <c r="G100" i="15"/>
  <c r="G101" i="15" s="1"/>
  <c r="F83" i="15"/>
  <c r="F85" i="15" s="1"/>
  <c r="F94" i="15"/>
  <c r="F99" i="15" s="1"/>
  <c r="F68" i="15"/>
  <c r="F73" i="15" s="1"/>
  <c r="A73" i="15" s="1"/>
  <c r="H30" i="1"/>
  <c r="H15" i="1"/>
  <c r="B73" i="13"/>
  <c r="A73" i="13" s="1"/>
  <c r="B74" i="15"/>
  <c r="T30" i="1"/>
  <c r="H16" i="1"/>
  <c r="H14" i="1"/>
  <c r="F38" i="15"/>
  <c r="F74" i="15"/>
  <c r="F75" i="15" s="1"/>
  <c r="F67" i="15"/>
  <c r="B96" i="15"/>
  <c r="A96" i="15" s="1"/>
  <c r="F88" i="15"/>
  <c r="F90" i="15" s="1"/>
  <c r="F93" i="15"/>
  <c r="F100" i="15"/>
  <c r="A61" i="15"/>
  <c r="F35" i="15"/>
  <c r="F81" i="15"/>
  <c r="G28" i="15"/>
  <c r="F57" i="15"/>
  <c r="A57" i="15" s="1"/>
  <c r="A56" i="15"/>
  <c r="A82" i="15"/>
  <c r="F63" i="15"/>
  <c r="F64" i="15" s="1"/>
  <c r="F36" i="15"/>
  <c r="A55" i="15"/>
  <c r="F40" i="15"/>
  <c r="F43" i="15"/>
  <c r="F41" i="15"/>
  <c r="F34" i="15"/>
  <c r="F42" i="15"/>
  <c r="F39" i="15"/>
  <c r="F37" i="15"/>
  <c r="O26" i="1" l="1"/>
  <c r="P24" i="1"/>
  <c r="O25" i="1"/>
  <c r="O27" i="1"/>
  <c r="O24" i="1"/>
  <c r="O28" i="1"/>
  <c r="P25" i="1"/>
  <c r="O29" i="1"/>
  <c r="P28" i="1"/>
  <c r="P29" i="1"/>
  <c r="P27" i="1"/>
  <c r="P26" i="1"/>
  <c r="A68" i="15"/>
  <c r="F84" i="15"/>
  <c r="F86" i="15" s="1"/>
  <c r="A74" i="15"/>
  <c r="F101" i="15"/>
  <c r="F59" i="15"/>
  <c r="F58" i="15"/>
  <c r="F100" i="13"/>
  <c r="F101" i="13" s="1"/>
  <c r="F99" i="13"/>
  <c r="Q29" i="1" l="1"/>
  <c r="Q25" i="1"/>
  <c r="Q26" i="1"/>
  <c r="Q24" i="1"/>
  <c r="Q28" i="1"/>
  <c r="Q27" i="1"/>
  <c r="F60" i="15"/>
  <c r="Q30" i="1" l="1"/>
  <c r="V32" i="1" s="1"/>
  <c r="B87" i="15" s="1"/>
  <c r="A87" i="15" s="1"/>
  <c r="X32" i="1" l="1"/>
  <c r="B87" i="13" s="1"/>
  <c r="A87" i="13" s="1"/>
  <c r="V34" i="1"/>
  <c r="V36" i="1" s="1"/>
  <c r="X36" i="1" s="1"/>
  <c r="B100" i="15"/>
  <c r="A100" i="15" s="1"/>
  <c r="B100" i="13"/>
  <c r="A100" i="13" s="1"/>
  <c r="V38" i="1" l="1"/>
  <c r="B99" i="15" s="1"/>
  <c r="A99" i="15" s="1"/>
  <c r="X34" i="1"/>
  <c r="X38" i="1" l="1"/>
  <c r="B94" i="15" s="1"/>
  <c r="A94" i="15" s="1"/>
  <c r="V43" i="1"/>
  <c r="X43" i="1" s="1"/>
  <c r="B99" i="13"/>
  <c r="A99" i="13" s="1"/>
  <c r="B94" i="13" l="1"/>
  <c r="A94" i="13" s="1"/>
  <c r="V42" i="1"/>
  <c r="X42" i="1" s="1"/>
  <c r="V41" i="1"/>
  <c r="X41" i="1" s="1"/>
  <c r="V45" i="1"/>
  <c r="V46" i="1" s="1"/>
  <c r="V40" i="1"/>
  <c r="X40" i="1" s="1"/>
  <c r="B81" i="15"/>
  <c r="A81" i="15" s="1"/>
  <c r="B83" i="15"/>
  <c r="A83" i="15" s="1"/>
  <c r="B83" i="13"/>
  <c r="A83" i="13" s="1"/>
</calcChain>
</file>

<file path=xl/sharedStrings.xml><?xml version="1.0" encoding="utf-8"?>
<sst xmlns="http://schemas.openxmlformats.org/spreadsheetml/2006/main" count="552" uniqueCount="278">
  <si>
    <t>Professional</t>
  </si>
  <si>
    <t>Capitation</t>
  </si>
  <si>
    <t>Product</t>
  </si>
  <si>
    <t>Total</t>
  </si>
  <si>
    <t>Market Level Calculations (Same for all Plans)</t>
  </si>
  <si>
    <t>Utilization per 1,000</t>
  </si>
  <si>
    <t>Projected Member Months</t>
  </si>
  <si>
    <t>Average Cost/Service</t>
  </si>
  <si>
    <t>Allowed Claims PMPM</t>
  </si>
  <si>
    <t>Company Legal Name:</t>
  </si>
  <si>
    <t>HIOS Issuer ID:</t>
  </si>
  <si>
    <t>Metal:</t>
  </si>
  <si>
    <t>Plan ID:</t>
  </si>
  <si>
    <t>Plan Type:</t>
  </si>
  <si>
    <t>Benefit Category</t>
  </si>
  <si>
    <t>State:</t>
  </si>
  <si>
    <t>WI</t>
  </si>
  <si>
    <t xml:space="preserve">Market: </t>
  </si>
  <si>
    <t>Plan Name</t>
  </si>
  <si>
    <t>Utilization Description</t>
  </si>
  <si>
    <t>to</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</si>
  <si>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</si>
  <si>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Administrative Expense Load</t>
  </si>
  <si>
    <t>Profit &amp; Risk Load</t>
  </si>
  <si>
    <t>Product-Plan Data Collection</t>
  </si>
  <si>
    <t>Effective Date of Rate Change(s):</t>
  </si>
  <si>
    <t>Product/Plan Level Calculations</t>
  </si>
  <si>
    <t>Product ID:</t>
  </si>
  <si>
    <t>Exchange Plan?</t>
  </si>
  <si>
    <t>Inpatient</t>
  </si>
  <si>
    <t>Outpatient</t>
  </si>
  <si>
    <t xml:space="preserve">Prescription Drug </t>
  </si>
  <si>
    <t>Other</t>
  </si>
  <si>
    <t>Administration</t>
  </si>
  <si>
    <t>Risk &amp; Profit Charge</t>
  </si>
  <si>
    <t>Member Months</t>
  </si>
  <si>
    <t>Average Current Rate PMPM</t>
  </si>
  <si>
    <t>Other Medical</t>
  </si>
  <si>
    <t>Outpatient Hospital</t>
  </si>
  <si>
    <t>Paid to Allowed Average Factor in Projection Period</t>
  </si>
  <si>
    <t>Section I:</t>
  </si>
  <si>
    <t>Prescription Drug</t>
  </si>
  <si>
    <t>Section II: Components of Premium Increase (PMPM Dollar Amount above Current Average Rate PMPM)</t>
  </si>
  <si>
    <t>Total Rate Increase</t>
  </si>
  <si>
    <t>Premium Information</t>
  </si>
  <si>
    <t>Claims Information</t>
  </si>
  <si>
    <r>
      <t xml:space="preserve">Total Premium </t>
    </r>
    <r>
      <rPr>
        <sz val="11"/>
        <rFont val="Calibri"/>
        <family val="2"/>
      </rPr>
      <t>(TP)</t>
    </r>
  </si>
  <si>
    <t>Experience Period:</t>
  </si>
  <si>
    <t>Premiums (net of MLR Rebate) in Experience Period:</t>
  </si>
  <si>
    <t>Experience Period Member Months</t>
  </si>
  <si>
    <t>% of Prem</t>
  </si>
  <si>
    <t xml:space="preserve"> PMPM</t>
  </si>
  <si>
    <t>Projection Period:</t>
  </si>
  <si>
    <t>Mid-point to Mid-point, Experience to Projection:</t>
  </si>
  <si>
    <t xml:space="preserve"> months</t>
  </si>
  <si>
    <t>Adj't.  from Experience to Projection Period</t>
  </si>
  <si>
    <t>Pop'l risk Morbidity</t>
  </si>
  <si>
    <t>Credibility Manual</t>
  </si>
  <si>
    <t>PMPM</t>
  </si>
  <si>
    <t>After Credibility</t>
  </si>
  <si>
    <t>Projected ACA reinsurance recoveries, net of rein prem, PMPM</t>
  </si>
  <si>
    <t>Projected Incurred Claims, before ACA rein &amp; Risk Adj't,  PMPM</t>
  </si>
  <si>
    <t>Projected Incurred Claims</t>
  </si>
  <si>
    <t>Single Risk Pool Gross Premium Avg. Rate, PMPM</t>
  </si>
  <si>
    <t>% increase over Experience Period</t>
  </si>
  <si>
    <t>% Increase, annualized:</t>
  </si>
  <si>
    <t>state mandated benefits portion of TP that are other than EHB</t>
  </si>
  <si>
    <t>Other benefits portion of TP</t>
  </si>
  <si>
    <t>Total Allowed Claims (TAC)</t>
  </si>
  <si>
    <t>state mandated benefits portion of TAC that are other than EHB</t>
  </si>
  <si>
    <t>Other benefits portion of TAC</t>
  </si>
  <si>
    <t>Section III: Experience Period Information</t>
  </si>
  <si>
    <t>Section IV: Projected (12 months following effective date)</t>
  </si>
  <si>
    <t xml:space="preserve">     Projected Incurred Claims, before reinsurance recoveries, net of rein prem, PMPM</t>
  </si>
  <si>
    <t xml:space="preserve">Incurred Claims in Experience Period </t>
  </si>
  <si>
    <t>Allowed Claims:</t>
  </si>
  <si>
    <t>Util</t>
  </si>
  <si>
    <t xml:space="preserve">Cost         </t>
  </si>
  <si>
    <t>Annualized Trend Factors</t>
  </si>
  <si>
    <t xml:space="preserve">Experience Period </t>
  </si>
  <si>
    <t>Projected Period Totals</t>
  </si>
  <si>
    <t>Rate Change % (over prior filing)</t>
  </si>
  <si>
    <t>Cum'tive Rate Change %  (over 12 mos prior)</t>
  </si>
  <si>
    <t>Proj'd Per Rate Change %  (over Exper. Period)</t>
  </si>
  <si>
    <t>Total Incurred claims, payable with issuer funds</t>
  </si>
  <si>
    <t>Portion of above payable by HHS's funds on behalf of insured person, in dollars</t>
  </si>
  <si>
    <t>Portion of above payable by HHS on behalf of insured person, as %</t>
  </si>
  <si>
    <t>Incurred Claims  PMPM</t>
  </si>
  <si>
    <t>EHB portion of Allowed Claims, PMPM</t>
  </si>
  <si>
    <t>Wsht 1 Total</t>
  </si>
  <si>
    <t>Projections, before credibility Adjustment</t>
  </si>
  <si>
    <t>Effective Date of Proposed Rates</t>
  </si>
  <si>
    <t>Warning Alert</t>
  </si>
  <si>
    <t xml:space="preserve">   Net Amt of Risk Adj</t>
  </si>
  <si>
    <t xml:space="preserve">   Net Amt of Rein</t>
  </si>
  <si>
    <t>on Actual Experience Allowed</t>
  </si>
  <si>
    <t>Section II: Allowed Claims, PMPM basis</t>
  </si>
  <si>
    <t>Section III: Projected Experience:</t>
  </si>
  <si>
    <t>Projected Risk Adjustments PMPM</t>
  </si>
  <si>
    <t>Member Cost Share Increase</t>
  </si>
  <si>
    <t xml:space="preserve"> Allowed Claims which are not the issuer's obligation:</t>
  </si>
  <si>
    <t xml:space="preserve"> Allowed Claims which are not the issuer's obligation</t>
  </si>
  <si>
    <t>Index Rate of Experience Period</t>
  </si>
  <si>
    <t>Taxes &amp; Fees</t>
  </si>
  <si>
    <t>Index Rate for Projection Period</t>
  </si>
  <si>
    <t>AV Pricing Value</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</si>
  <si>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</si>
  <si>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</si>
  <si>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</si>
  <si>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</si>
  <si>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</si>
  <si>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</si>
  <si>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</si>
  <si>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</si>
  <si>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</si>
  <si>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</si>
  <si>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</si>
  <si>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</si>
  <si>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</si>
  <si>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</si>
  <si>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</si>
  <si>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</si>
  <si>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</si>
  <si>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</si>
  <si>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</si>
  <si>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</si>
  <si>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</si>
  <si>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</si>
  <si>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</si>
  <si>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</si>
  <si>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</si>
  <si>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</si>
  <si>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</si>
  <si>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</si>
  <si>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</si>
  <si>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</si>
  <si>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</si>
  <si>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</si>
  <si>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</si>
  <si>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</si>
  <si>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</si>
  <si>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</si>
  <si>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</si>
  <si>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</si>
  <si>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</si>
  <si>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</si>
  <si>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</si>
  <si>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</si>
  <si>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</si>
  <si>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</si>
  <si>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</si>
  <si>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</si>
  <si>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</si>
  <si>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</si>
  <si>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</si>
  <si>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</si>
  <si>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</si>
  <si>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Experience Period Aggregate Amount</t>
  </si>
  <si>
    <t>Section I: Experience period data</t>
  </si>
  <si>
    <t>Admits</t>
  </si>
  <si>
    <t>Days</t>
  </si>
  <si>
    <t>Benefit Period</t>
  </si>
  <si>
    <t>Visits</t>
  </si>
  <si>
    <t>Services</t>
  </si>
  <si>
    <t>Prescriptions</t>
  </si>
  <si>
    <t>&lt;?xml version="1.0"?&gt;_x000D_
&lt;InsuranceRateForecastTempVO xmlns="http://vo.urr.oversight.ff.cms.hhs.gov"&gt;_x000D_
  &lt;submittingIssuerHIOSIdentifier&gt;_x000D_
    &lt;cellLocation&gt;Wksh 1 - Market Experience!$E$4&lt;/cellLocation&gt;_x000D_
    &lt;cellValue&gt;00123&lt;/cellValue&gt;_x000D_
  &lt;/submittingIssuerHIOSIdentifier&gt;_x000D_
  &lt;companyLegalName&gt;_x000D_
    &lt;cellLocation&gt;Wksh 1 - Market Experience!$E$3&lt;/cellLocation&gt;_x000D_
    &lt;cellValue&gt;ABC Insurer&lt;/cellValue&gt;_x000D_
  &lt;/companyLegalName&gt;_x000D_
  &lt;stateAbbreviationText&gt;_x000D_
    &lt;cellLocation&gt;Wksh 1 - Market Experience!$H$3&lt;/cellLocation&gt;_x000D_
    &lt;cellValue&gt;WI&lt;/cellValue&gt;_x000D_
  &lt;/stateAbbreviationText&gt;_x000D_
  &lt;experiencePeriodBeginningDate&gt;_x000D_
    &lt;cellLocation&gt;Wksh 1 - Market Experience!$E$12&lt;/cellLocation&gt;_x000D_
    &lt;cellValue&gt;1/1/2012&lt;/cellValue&gt;_x000D_
  &lt;/experiencePeriodBeginningDate&gt;_x000D_
  &lt;premiumsNetOfMlrRebateInExperiencePeriodAmount&gt;_x000D_
    &lt;cellLocation&gt;Wksh 1 - Market Experience!$F$14&lt;/cellLocation&gt;_x000D_
    &lt;cellValue&gt;91250000&lt;/cellValue&gt;_x000D_
  &lt;/premiumsNetOfMlrRebateInExperiencePeriodAmount&gt;_x000D_
  &lt;incurredClaimsInExperiencePeriodAmount&gt;_x000D_
    &lt;cellLocation&gt;W'</t>
  </si>
  <si>
    <t>ksh 1 - Market Experience!$F$15&lt;/cellLocation&gt;_x000D_
    &lt;cellValue&gt;75000000&lt;/cellValue&gt;_x000D_
  &lt;/incurredClaimsInExperiencePeriodAmount&gt;_x000D_
  &lt;allowedClaimsAmount&gt;_x000D_
    &lt;cellLocation&gt;Wksh 1 - Market Experience!$F$16&lt;/cellLocation&gt;_x000D_
    &lt;cellValue&gt;107250000&lt;/cellValue&gt;_x000D_
  &lt;/allowedClaimsAmount&gt;_x000D_
  &lt;experiencePeriodMemberMonthsQuantity&gt;_x000D_
    &lt;cellLocation&gt;Wksh 1 - Market Experience!$G$17&lt;/cellLocation&gt;_x000D_
    &lt;cellValue&gt;420.00&lt;/cellValue&gt;_x000D_
  &lt;/experiencePeriodMemberMonthsQuantity&gt;_x000D_
  &lt;projectionPeriodStartDate&gt;_x000D_
    &lt;cellLocation&gt;Wksh 1 - Market Experience!$L$21&lt;/cellLocation&gt;_x000D_
    &lt;cellValue&gt;1/1/2014&lt;/cellValue&gt;_x000D_
  &lt;/projectionPeriodStartDate&gt;_x000D_
  &lt;projectedAllowedExperienceClaimsPMPMCredibilityIndexQuantity&gt;_x000D_
    &lt;cellLocation&gt;Wksh 1 - Market Experience!$Q$32&lt;/cellLocation&gt;_x000D_
    &lt;cellValue&gt;80%&lt;/cellValue&gt;_x000D_
  &lt;/projectedAllowedExperienceClaimsPMPMCredibilityIndexQuantity&gt;_x000D_
  &lt;projectedAllowedManualClaimsPMPMCredibilityIndexQuantity&gt;_x000D_
    &lt;cellLocation&gt;Wksh 1 - Market Experience!$T$32&lt;/cellLocation&gt;_x000D_
    &lt;cellValue&gt;20%&lt;/cel'</t>
  </si>
  <si>
    <t>lValue&gt;_x000D_
  &lt;/projectedAllowedManualClaimsPMPMCredibilityIndexQuantity&gt;_x000D_
  &lt;projectedAdjustedExperienceClaimsPMPMAmount&gt;_x000D_
    &lt;cellLocation&gt;Wksh 1 - Market Experience!$V$32&lt;/cellLocation&gt;_x000D_
    &lt;cellValue&gt;539.32&lt;/cellValue&gt;_x000D_
  &lt;/projectedAdjustedExperienceClaimsPMPMAmount&gt;_x000D_
  &lt;projectedAllowedExperienceClaimsAmount&gt;_x000D_
    &lt;cellLocation&gt;Wksh 1 - Market Experience!$X$32&lt;/cellLocation&gt;_x000D_
    &lt;cellValue&gt;141571104&lt;/cellValue&gt;_x000D_
  &lt;/projectedAllowedExperienceClaimsAmount&gt;_x000D_
  &lt;paidToAllowedAverageFactorInProjectionPeriodQuantity&gt;_x000D_
    &lt;cellLocation&gt;Wksh 1 - Market Experience!$V$33&lt;/cellLocation&gt;_x000D_
    &lt;cellValue&gt;0.69945&lt;/cellValue&gt;_x000D_
  &lt;/paidToAllowedAverageFactorInProjectionPeriodQuantity&gt;_x000D_
  &lt;projectedIncurredClaimsBeforeAdjustmentPMPMAmount&gt;_x000D_
    &lt;cellLocation&gt;Wksh 1 - Market Experience!$V$34&lt;/cellLocation&gt;_x000D_
    &lt;cellValue&gt;377.23&lt;/cellValue&gt;_x000D_
  &lt;/projectedIncurredClaimsBeforeAdjustmentPMPMAmount&gt;_x000D_
  &lt;projectedRiskAdjustmentsPMPMAmount&gt;_x000D_
    &lt;cellLocation&gt;Wksh 1 - Market Experience!$V$35&lt;/cellLocation&gt;_x000D_
    &lt;cellValue&gt;1.'</t>
  </si>
  <si>
    <t>91&lt;/cellValue&gt;_x000D_
  &lt;/projectedRiskAdjustmentsPMPMAmount&gt;_x000D_
  &lt;projectedACAReinsuranceRecoveriesPMPMAmount&gt;_x000D_
    &lt;cellLocation&gt;Wksh 1 - Market Experience!$V$37&lt;/cellLocation&gt;_x000D_
    &lt;cellValue&gt;3.82&lt;/cellValue&gt;_x000D_
  &lt;/projectedACAReinsuranceRecoveriesPMPMAmount&gt;_x000D_
  &lt;administrativeExpenseLoadQuantity&gt;_x000D_
    &lt;cellLocation&gt;Wksh 1 - Market Experience!$T$40&lt;/cellLocation&gt;_x000D_
    &lt;cellValue&gt;12.5%&lt;/cellValue&gt;_x000D_
  &lt;/administrativeExpenseLoadQuantity&gt;_x000D_
  &lt;administrativeExpenseLoadPMPMAmount&gt;_x000D_
    &lt;cellLocation&gt;Wksh 1 - Market Experience!$V$40&lt;/cellLocation&gt;_x000D_
    &lt;cellValue&gt;58.05&lt;/cellValue&gt;_x000D_
  &lt;/administrativeExpenseLoadPMPMAmount&gt;_x000D_
  &lt;profitAndRiskLoadQuantity&gt;_x000D_
    &lt;cellLocation&gt;Wksh 1 - Market Experience!$T$41&lt;/cellLocation&gt;_x000D_
    &lt;cellValue&gt;5.0%&lt;/cellValue&gt;_x000D_
  &lt;/profitAndRiskLoadQuantity&gt;_x000D_
  &lt;profitAndRiskLoadPMPMAmount&gt;_x000D_
    &lt;cellLocation&gt;Wksh 1 - Market Experience!$V$41&lt;/cellLocation&gt;_x000D_
    &lt;cellValue&gt;23.22&lt;/cellValue&gt;_x000D_
  &lt;/profitAndRiskLoadPMPMAmount&gt;_x000D_
  &lt;taxesAndFeesPercentQuantity&gt;_x000D_
    &lt;cellLocation&gt;Wksh 1 - Market Experi'</t>
  </si>
  <si>
    <t>ence!$T$42&lt;/cellLocation&gt;_x000D_
    &lt;cellValue&gt;2.5%&lt;/cellValue&gt;_x000D_
  &lt;/taxesAndFeesPercentQuantity&gt;_x000D_
  &lt;taxesAndFeesPMPMAmount&gt;_x000D_
    &lt;cellLocation&gt;Wksh 1 - Market Experience!$V$42&lt;/cellLocation&gt;_x000D_
    &lt;cellValue&gt;11.61&lt;/cellValue&gt;_x000D_
  &lt;/taxesAndFeesPMPMAmount&gt;_x000D_
  &lt;singleRiskPoolGrossPremiumAvgRatePMPMAmount&gt;_x000D_
    &lt;cellLocation&gt;Wksh 1 - Market Experience!$V$43&lt;/cellLocation&gt;_x000D_
    &lt;cellValue&gt;464.37&lt;/cellValue&gt;_x000D_
  &lt;/singleRiskPoolGrossPremiumAvgRatePMPMAmount&gt;_x000D_
  &lt;percentIncreaseOverExperiencePeriodQuantity&gt;_x000D_
    &lt;cellLocation&gt;Wksh 1 - Market Experience!$V$44&lt;/cellLocation&gt;_x000D_
    &lt;cellValue&gt;530.00&lt;/cellValue&gt;_x000D_
  &lt;/percentIncreaseOverExperiencePeriodQuantity&gt;_x000D_
  &lt;percentIncreaseAnnualizedQuantity&gt;_x000D_
    &lt;cellLocation&gt;Wksh 1 - Market Experience!$V$45&lt;/cellLocation&gt;_x000D_
    &lt;cellValue&gt;27%&lt;/cellValue&gt;_x000D_
  &lt;/percentIncreaseAnnualizedQuantity&gt;_x000D_
  &lt;projectedMemberMonthsQuantity&gt;_x000D_
    &lt;cellLocation&gt;Wksh 1 - Market Experience!$X$47&lt;/cellLocation&gt;_x000D_
    &lt;cellValue&gt;262500&lt;/cellValue&gt;_x000D_
  &lt;/projectedMemberMonthsQuantity&gt;_x000D_
  &lt;poolingInsurance'</t>
  </si>
  <si>
    <t>MarketLevelType&gt;_x000D_
    &lt;cellLocation&gt;Wksh 1 - Market Experience!$H$4&lt;/cellLocation&gt;_x000D_
    &lt;cellValue&gt;Small Group&lt;/cellValue&gt;_x000D_
  &lt;/poolingInsuranceMarketLevelType&gt;_x000D_
  &lt;experiencePeriodEndingDate&gt;_x000D_
    &lt;cellLocation&gt;Wksh 1 - Market Experience!$G$12&lt;/cellLocation&gt;_x000D_
    &lt;cellValue&gt;12/31/2012&lt;/cellValue&gt;_x000D_
  &lt;/experiencePeriodEndingDate&gt;_x000D_
  &lt;rateReviewEffectiveDate&gt;_x000D_
    &lt;cellLocation&gt;Wksh 1 - Market Experience!$E$5&lt;/cellLocation&gt;_x000D_
    &lt;cellValue&gt;1/1/2014&lt;/cellValue&gt;_x000D_
  &lt;/rateReviewEffectiveDate&gt;_x000D_
  &lt;premiumsNetOfMlrRebateInExperiencePeriodPMPMAmount&gt;_x000D_
    &lt;cellLocation&gt;Wksh 1 - Market Experience!$G$14&lt;/cellLocation&gt;_x000D_
    &lt;cellValue&gt;365.00&lt;/cellValue&gt;_x000D_
  &lt;/premiumsNetOfMlrRebateInExperiencePeriodPMPMAmount&gt;_x000D_
  &lt;premiumsNetOfMlrRebateInExperiencePeriodQuantity&gt;_x000D_
    &lt;cellLocation&gt;Wksh 1 - Market Experience!$H$14&lt;/cellLocation&gt;_x000D_
    &lt;cellValue&gt;100.0%&lt;/cellValue&gt;_x000D_
  &lt;/premiumsNetOfMlrRebateInExperiencePeriodQuantity&gt;_x000D_
  &lt;incurredClaimsInExperiencePeriodPMPMAmount&gt;_x000D_
    &lt;cellLocation&gt;Wksh 1 - Market Experience!$G$15&lt;/cel'</t>
  </si>
  <si>
    <t>lLocation&gt;_x000D_
    &lt;cellValue&gt;300.00&lt;/cellValue&gt;_x000D_
  &lt;/incurredClaimsInExperiencePeriodPMPMAmount&gt;_x000D_
  &lt;incurredClaimsInExperiencePeriodQuantity&gt;_x000D_
    &lt;cellLocation&gt;Wksh 1 - Market Experience!$H$15&lt;/cellLocation&gt;_x000D_
    &lt;cellValue&gt;82.2%&lt;/cellValue&gt;_x000D_
  &lt;/incurredClaimsInExperiencePeriodQuantity&gt;_x000D_
  &lt;allowedClaimsPMPMAmount&gt;_x000D_
    &lt;cellLocation&gt;Wksh 1 - Market Experience!$G$16&lt;/cellLocation&gt;_x000D_
    &lt;cellValue&gt;429.00&lt;/cellValue&gt;_x000D_
  &lt;/allowedClaimsPMPMAmount&gt;_x000D_
  &lt;allowedClaimsPercentQuantity&gt;_x000D_
    &lt;cellLocation&gt;Wksh 1 - Market Experience!$H$16&lt;/cellLocation&gt;_x000D_
    &lt;cellValue&gt;117.5%&lt;/cellValue&gt;_x000D_
  &lt;/allowedClaimsPercentQuantity&gt;_x000D_
  &lt;experiencePeriodIndexRatePMPMQuantity&gt;_x000D_
    &lt;cellLocation&gt;Wksh 1 - Market Experience!$F$18&lt;/cellLocation&gt;_x000D_
    &lt;cellValue&gt;250000&lt;/cellValue&gt;_x000D_
  &lt;/experiencePeriodIndexRatePMPMQuantity&gt;_x000D_
  &lt;projectionPeriodEndDate&gt;_x000D_
    &lt;cellLocation&gt;Wksh 1 - Market Experience!$O$21&lt;/cellLocation&gt;_x000D_
    &lt;cellValue&gt;12/31/2014&lt;/cellValue&gt;_x000D_
  &lt;/projectionPeriodEndDate&gt;_x000D_
  &lt;midpointToMidpointMonthsQuantity&gt;_x000D_
    &lt;cellL'</t>
  </si>
  <si>
    <t>ocation&gt;Wksh 1 - Market Experience!$T$21&lt;/cellLocation&gt;_x000D_
    &lt;cellValue&gt;24&lt;/cellValue&gt;_x000D_
  &lt;/midpointToMidpointMonthsQuantity&gt;_x000D_
  &lt;totalExperiencePeriodOnActualExperienceAllowedPMPMAmount&gt;_x000D_
    &lt;cellLocation&gt;Wksh 1 - Market Experience!$H$30&lt;/cellLocation&gt;_x000D_
    &lt;cellValue&gt;429.00&lt;/cellValue&gt;_x000D_
  &lt;/totalExperiencePeriodOnActualExperienceAllowedPMPMAmount&gt;_x000D_
  &lt;totalProjectionsBeforeCredibilityAdjustmentPMPMAmount&gt;_x000D_
    &lt;cellLocation&gt;Wksh 1 - Market Experience!$Q$30&lt;/cellLocation&gt;_x000D_
    &lt;cellValue&gt;560.45&lt;/cellValue&gt;_x000D_
  &lt;/totalProjectionsBeforeCredibilityAdjustmentPMPMAmount&gt;_x000D_
  &lt;totalCredibilityManualPMPMAmount&gt;_x000D_
    &lt;cellLocation&gt;Wksh 1 - Market Experience!$T$30&lt;/cellLocation&gt;_x000D_
    &lt;cellValue&gt;454.78&lt;/cellValue&gt;_x000D_
  &lt;/totalCredibilityManualPMPMAmount&gt;_x000D_
  &lt;projectedIncurredClaimsBeforeAdjustmentAmount&gt;_x000D_
    &lt;cellLocation&gt;Wksh 1 - Market Experience!$V$38&lt;/cellLocation&gt;_x000D_
    &lt;cellValue&gt;371.50&lt;/cellValue&gt;_x000D_
  &lt;/projectedIncurredClaimsBeforeAdjustmentAmount&gt;_x000D_
  &lt;singleRiskPoolGrossPremiumAvgRatePMPMTotalAmount&gt;_x000D_
    &lt;cellLo'</t>
  </si>
  <si>
    <t>cation&gt;Wksh 1 - Market Experience!$X$43&lt;/cellLocation&gt;_x000D_
    &lt;cellValue&gt;121897229&lt;/cellValue&gt;_x000D_
  &lt;/singleRiskPoolGrossPremiumAvgRatePMPMTotalAmount&gt;_x000D_
  &lt;taxesAndFeesPMPMTotalAmount&gt;_x000D_
    &lt;cellLocation&gt;Wksh 1 - Market Experience!$X$42&lt;/cellLocation&gt;_x000D_
    &lt;cellValue&gt;3047431&lt;/cellValue&gt;_x000D_
  &lt;/taxesAndFeesPMPMTotalAmount&gt;_x000D_
  &lt;profitAndRiskLoadPMPMTotalAmount&gt;_x000D_
    &lt;cellLocation&gt;Wksh 1 - Market Experience!$X$41&lt;/cellLocation&gt;_x000D_
    &lt;cellValue&gt;6094861&lt;/cellValue&gt;_x000D_
  &lt;/profitAndRiskLoadPMPMTotalAmount&gt;_x000D_
  &lt;administrativeExpenseLoadPMPMTotalAmount&gt;_x000D_
    &lt;cellLocation&gt;Wksh 1 - Market Experience!$X$40&lt;/cellLocation&gt;_x000D_
    &lt;cellValue&gt;15237154&lt;/cellValue&gt;_x000D_
  &lt;/administrativeExpenseLoadPMPMTotalAmount&gt;_x000D_
  &lt;projectedIncurredClaimsBeforeReinsuranceRecoveriesPMPMTotalAmount&gt;_x000D_
    &lt;cellLocation&gt;Wksh 1 - Market Experience!$X$34&lt;/cellLocation&gt;_x000D_
    &lt;cellValue&gt;99021908&lt;/cellValue&gt;_x000D_
  &lt;/projectedIncurredClaimsBeforeReinsuranceRecoveriesPMPMTotalAmount&gt;_x000D_
  &lt;projectedIncurredClaimsBeforeAdjustmentPMPMTotalAmount&gt;_x000D_
    &lt;cellLocation&gt;Wks'</t>
  </si>
  <si>
    <t>h 1 - Market Experience!$X$38&lt;/cellLocation&gt;_x000D_
    &lt;cellValue&gt;97517783&lt;/cellValue&gt;_x000D_
  &lt;/projectedIncurredClaimsBeforeAdjustmentPMPMTotalAmount&gt;_x000D_
  &lt;projectedRiskAdjustmentsPMPMTotalAmount&gt;_x000D_
    &lt;cellLocation&gt;Wksh 1 - Market Experience!$X$35&lt;/cellLocation&gt;_x000D_
    &lt;cellValue&gt;501375&lt;/cellValue&gt;_x000D_
  &lt;/projectedRiskAdjustmentsPMPMTotalAmount&gt;_x000D_
  &lt;projectedACAReinsuranceRecoveriesPMPMTotalAmount&gt;_x000D_
    &lt;cellLocation&gt;Wksh 1 - Market Experience!$X$37&lt;/cellLocation&gt;_x000D_
    &lt;cellValue&gt;1002750&lt;/cellValue&gt;_x000D_
  &lt;/projectedACAReinsuranceRecoveriesPMPMTotalAmount&gt;_x000D_
  &lt;indexRateForProjectionPeriodAmount&gt;_x000D_
    &lt;cellLocation&gt;Wksh 1 - Market Experience!$V$46&lt;/cellLocation&gt;_x000D_
    &lt;cellValue&gt;13%&lt;/cellValue&gt;_x000D_
  &lt;/indexRateForProjectionPeriodAmount&gt;_x000D_
&lt;/InsuranceRateForecastTempVO&gt;_x000D_
'</t>
  </si>
  <si>
    <t>Historical Rate Increase - Calendar Year 0</t>
  </si>
  <si>
    <t>Historical Rate Increase - Calendar Year - 2</t>
  </si>
  <si>
    <t>Historical Rate Increase - Calendar Year - 1</t>
  </si>
  <si>
    <t>Section I: General Product and Plan Information</t>
  </si>
  <si>
    <t>Plan ID (Standard Component ID):</t>
  </si>
  <si>
    <t>Inpatient Hospital</t>
  </si>
  <si>
    <t>AS</t>
  </si>
  <si>
    <t>GU</t>
  </si>
  <si>
    <t>MP</t>
  </si>
  <si>
    <t>PR</t>
  </si>
  <si>
    <t>VI</t>
  </si>
  <si>
    <t xml:space="preserve">    </t>
  </si>
  <si>
    <t>Plan Adjusted Index Rate</t>
  </si>
  <si>
    <t>EHB Percent of TP, [see instructions]</t>
  </si>
  <si>
    <t>EHB Percent of TAC, [see instructions]</t>
  </si>
  <si>
    <t>Plan Category</t>
  </si>
  <si>
    <t>New</t>
  </si>
  <si>
    <t>Renewing</t>
  </si>
  <si>
    <t>Terminated</t>
  </si>
  <si>
    <t>Product Rate Increase %</t>
  </si>
  <si>
    <t>Projected Allowed Claims PMPM (w/applied credibility if applicable)</t>
  </si>
  <si>
    <r>
      <rPr>
        <u/>
        <sz val="11"/>
        <color theme="0"/>
        <rFont val="Calibri"/>
        <family val="2"/>
        <scheme val="minor"/>
      </rPr>
      <t xml:space="preserve">Action Keyboard Shortcut:
</t>
    </r>
    <r>
      <rPr>
        <i/>
        <sz val="11"/>
        <color theme="0"/>
        <rFont val="Calibri"/>
        <family val="2"/>
        <scheme val="minor"/>
      </rPr>
      <t>Add Product:</t>
    </r>
    <r>
      <rPr>
        <sz val="11"/>
        <color theme="0"/>
        <rFont val="Calibri"/>
        <family val="2"/>
        <scheme val="minor"/>
      </rPr>
      <t xml:space="preserve"> CTRL + SHIFT + P
</t>
    </r>
    <r>
      <rPr>
        <i/>
        <sz val="11"/>
        <color theme="0"/>
        <rFont val="Calibri"/>
        <family val="2"/>
        <scheme val="minor"/>
      </rPr>
      <t>Add Plan:</t>
    </r>
    <r>
      <rPr>
        <sz val="11"/>
        <color theme="0"/>
        <rFont val="Calibri"/>
        <family val="2"/>
        <scheme val="minor"/>
      </rPr>
      <t xml:space="preserve"> 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 </t>
    </r>
  </si>
  <si>
    <r>
      <rPr>
        <u/>
        <sz val="11"/>
        <color theme="0"/>
        <rFont val="Calibri"/>
        <family val="2"/>
        <scheme val="minor"/>
      </rPr>
      <t xml:space="preserve">Action Keyboard Shortcut:
</t>
    </r>
    <r>
      <rPr>
        <i/>
        <sz val="11"/>
        <color theme="0"/>
        <rFont val="Calibri"/>
        <family val="2"/>
        <scheme val="minor"/>
      </rPr>
      <t xml:space="preserve">Add Product: </t>
    </r>
    <r>
      <rPr>
        <sz val="11"/>
        <color theme="0"/>
        <rFont val="Calibri"/>
        <family val="2"/>
        <scheme val="minor"/>
      </rPr>
      <t xml:space="preserve">CTRL + SHIFT + P
</t>
    </r>
    <r>
      <rPr>
        <i/>
        <sz val="11"/>
        <color theme="0"/>
        <rFont val="Calibri"/>
        <family val="2"/>
        <scheme val="minor"/>
      </rPr>
      <t xml:space="preserve">Add Plan: </t>
    </r>
    <r>
      <rPr>
        <sz val="11"/>
        <color theme="0"/>
        <rFont val="Calibri"/>
        <family val="2"/>
        <scheme val="minor"/>
      </rPr>
      <t xml:space="preserve">CTRL + SHIFT + L
</t>
    </r>
    <r>
      <rPr>
        <i/>
        <sz val="11"/>
        <color theme="0"/>
        <rFont val="Calibri"/>
        <family val="2"/>
        <scheme val="minor"/>
      </rPr>
      <t>Validate:</t>
    </r>
    <r>
      <rPr>
        <sz val="11"/>
        <color theme="0"/>
        <rFont val="Calibri"/>
        <family val="2"/>
        <scheme val="minor"/>
      </rPr>
      <t xml:space="preserve"> CTRL + SHIFT + I
</t>
    </r>
    <r>
      <rPr>
        <i/>
        <sz val="11"/>
        <color theme="0"/>
        <rFont val="Calibri"/>
        <family val="2"/>
        <scheme val="minor"/>
      </rPr>
      <t>Finalize:</t>
    </r>
    <r>
      <rPr>
        <sz val="11"/>
        <color theme="0"/>
        <rFont val="Calibri"/>
        <family val="2"/>
        <scheme val="minor"/>
      </rPr>
      <t xml:space="preserve"> CTRL + SHIFT + F</t>
    </r>
  </si>
  <si>
    <t>Unified Rate Review v4.2</t>
  </si>
  <si>
    <t>HMO Colorado, Inc.</t>
  </si>
  <si>
    <t>Individual</t>
  </si>
  <si>
    <t>HMO On Exchange</t>
  </si>
  <si>
    <t>76680CO022</t>
  </si>
  <si>
    <t>HMO Off Exchange</t>
  </si>
  <si>
    <t>76680CO025</t>
  </si>
  <si>
    <t>HMO MSP</t>
  </si>
  <si>
    <t>76680CO038</t>
  </si>
  <si>
    <t>Catastrophic</t>
  </si>
  <si>
    <t>Bronze</t>
  </si>
  <si>
    <t>Silver</t>
  </si>
  <si>
    <t>Gold</t>
  </si>
  <si>
    <t>HMO</t>
  </si>
  <si>
    <t>Anthem Catastrophic Pathway X HMO 7350</t>
  </si>
  <si>
    <t>Anthem Bronze Mountain Enhanced X HMO 5000</t>
  </si>
  <si>
    <t>Anthem Bronze Pathway X HMO 5000</t>
  </si>
  <si>
    <t>Anthem Bronze Pathway X HMO 5000 for HSA</t>
  </si>
  <si>
    <t>Anthem Bronze Pathway X HMO 5400</t>
  </si>
  <si>
    <t>Anthem Bronze Pathway X HMO 5800</t>
  </si>
  <si>
    <t>Anthem Bronze Pathway X HMO 6300 for HSA</t>
  </si>
  <si>
    <t>Anthem Bronze Mountain Enhanced X HMO 5000 for HSA</t>
  </si>
  <si>
    <t>Anthem Bronze Mountain Enhanced X HMO 6300 for HSA</t>
  </si>
  <si>
    <t>Anthem Silver Core Mountain Enhanced X HMO 5300</t>
  </si>
  <si>
    <t>Anthem Silver Core Pathway X HMO 5300</t>
  </si>
  <si>
    <t>Anthem Silver Mountain Enhanced X HMO 2000</t>
  </si>
  <si>
    <t>Anthem Silver Pathway X HMO 1650</t>
  </si>
  <si>
    <t>Anthem Silver Pathway X HMO 2000</t>
  </si>
  <si>
    <t>Anthem Silver Pathway X HMO 2500</t>
  </si>
  <si>
    <t>Anthem Silver Pathway X HMO 5150</t>
  </si>
  <si>
    <t>Anthem Silver Pathway X HMO 5750</t>
  </si>
  <si>
    <t>Anthem Gold Pathway X HMO 1100</t>
  </si>
  <si>
    <t>Anthem Gold Mountain Enhanced X HMO 1100</t>
  </si>
  <si>
    <t>Anthem Silver Pathway X HMO 3200/50%</t>
  </si>
  <si>
    <t>Anthem Gold Pathway X HMO 0/30%</t>
  </si>
  <si>
    <t>Anthem Gold Pathway X HMO 1500/20%</t>
  </si>
  <si>
    <t xml:space="preserve">Anthem Gold Mountain Enhanced X HMO 1100/10% </t>
  </si>
  <si>
    <t>Anthem Silver Pathway X HMO 2400/10%</t>
  </si>
  <si>
    <t>Anthem Bronze Pathway X HMO 6250/20%</t>
  </si>
  <si>
    <t>Anthem Silver Pathway HMO 6100</t>
  </si>
  <si>
    <t>Anthem Silver Pathway HMO 6200</t>
  </si>
  <si>
    <t>Anthem Silver Pathway HMO 3000/10%</t>
  </si>
  <si>
    <t>Anthem Gold Pathway HMO 1100/10%</t>
  </si>
  <si>
    <t>Anthem Silver Pathway HMO 2000/20%</t>
  </si>
  <si>
    <t>Anthem Blue Cross and Blue Shield  Silver DirectAccess, a Multi-State Plan</t>
  </si>
  <si>
    <t>Anthem Blue Cross and Blue Shield  Gold DirectAccess, a Multi-State Plan</t>
  </si>
  <si>
    <t>76680CO0220030</t>
  </si>
  <si>
    <t>76680CO0220033</t>
  </si>
  <si>
    <t>76680CO0220020</t>
  </si>
  <si>
    <t>76680CO0220023</t>
  </si>
  <si>
    <t>76680CO0220034</t>
  </si>
  <si>
    <t>76680CO0220021</t>
  </si>
  <si>
    <t>76680CO0220022</t>
  </si>
  <si>
    <t>76680CO0220043</t>
  </si>
  <si>
    <t>76680CO0220044</t>
  </si>
  <si>
    <t>76680CO0220040</t>
  </si>
  <si>
    <t>76680CO0220039</t>
  </si>
  <si>
    <t>76680CO0220031</t>
  </si>
  <si>
    <t>76680CO0220026</t>
  </si>
  <si>
    <t>76680CO0220025</t>
  </si>
  <si>
    <t>76680CO0220027</t>
  </si>
  <si>
    <t>76680CO0220041</t>
  </si>
  <si>
    <t>76680CO0220042</t>
  </si>
  <si>
    <t>76680CO0220048</t>
  </si>
  <si>
    <t>76680CO0220049</t>
  </si>
  <si>
    <t>76680CO0220037</t>
  </si>
  <si>
    <t>76680CO0220036</t>
  </si>
  <si>
    <t>76680CO0220035</t>
  </si>
  <si>
    <t>76680CO0220032</t>
  </si>
  <si>
    <t>76680CO0220028</t>
  </si>
  <si>
    <t>76680CO0220024</t>
  </si>
  <si>
    <t>76680CO0250023</t>
  </si>
  <si>
    <t>76680CO0250024</t>
  </si>
  <si>
    <t>76680CO0250022</t>
  </si>
  <si>
    <t>76680CO0250021</t>
  </si>
  <si>
    <t>76680CO0250020</t>
  </si>
  <si>
    <t>76680CO0380005</t>
  </si>
  <si>
    <t>76680CO0380006</t>
  </si>
  <si>
    <t>Yes</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</si>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</sst>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0.000_);\(#,##0.000\)"/>
    <numFmt numFmtId="169" formatCode="_(&quot;$&quot;* #,##0_);_(&quot;$&quot;* \(#,##0\);_(&quot;$&quot;* &quot;-&quot;??_);_(@_)"/>
    <numFmt numFmtId="170" formatCode="&quot;$&quot;#,##0.00"/>
    <numFmt numFmtId="171" formatCode="&quot;$&quot;#,##0"/>
    <numFmt numFmtId="172" formatCode="0.000_);[Red]\(0.000\)"/>
  </numFmts>
  <fonts count="22"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u val="singleAccounting"/>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sz val="11"/>
      <color theme="0"/>
      <name val="Calibri"/>
      <family val="2"/>
      <scheme val="minor"/>
    </font>
    <font>
      <u/>
      <sz val="11"/>
      <color theme="0"/>
      <name val="Calibri"/>
      <family val="2"/>
      <scheme val="minor"/>
    </font>
    <font>
      <i/>
      <sz val="11"/>
      <color theme="0"/>
      <name val="Calibri"/>
      <family val="2"/>
      <scheme val="minor"/>
    </font>
  </fonts>
  <fills count="8">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
      <patternFill patternType="solid">
        <fgColor theme="4" tint="0.59996337778862885"/>
        <bgColor indexed="64"/>
      </patternFill>
    </fill>
  </fills>
  <borders count="15">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n">
        <color indexed="64"/>
      </left>
      <right/>
      <top style="thin">
        <color indexed="64"/>
      </top>
      <bottom style="thin">
        <color indexed="64"/>
      </bottom>
      <diagonal/>
    </border>
  </borders>
  <cellStyleXfs count="7">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397">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0" fontId="0" fillId="0" borderId="0" xfId="0" applyFill="1" applyBorder="1"/>
    <xf numFmtId="43" fontId="9" fillId="0" borderId="0" xfId="1" applyFont="1" applyFill="1" applyBorder="1"/>
    <xf numFmtId="0" fontId="0" fillId="0" borderId="0" xfId="0" applyFill="1"/>
    <xf numFmtId="0" fontId="0" fillId="0" borderId="0" xfId="0" quotePrefix="1" applyFill="1" applyBorder="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44" fontId="0" fillId="0" borderId="0" xfId="0" applyNumberFormat="1" applyFill="1" applyBorder="1"/>
    <xf numFmtId="164" fontId="9" fillId="0" borderId="0" xfId="1" applyNumberFormat="1" applyFont="1" applyFill="1" applyBorder="1"/>
    <xf numFmtId="0" fontId="0" fillId="0" borderId="0" xfId="0" applyAlignment="1"/>
    <xf numFmtId="0" fontId="0" fillId="4" borderId="0" xfId="0" applyFill="1" applyBorder="1"/>
    <xf numFmtId="0" fontId="0" fillId="4" borderId="0" xfId="0" quotePrefix="1" applyFill="1" applyBorder="1" applyAlignment="1">
      <alignment horizontal="left"/>
    </xf>
    <xf numFmtId="0" fontId="10" fillId="4" borderId="0" xfId="0" applyFont="1" applyFill="1" applyBorder="1"/>
    <xf numFmtId="43" fontId="0" fillId="0" borderId="0" xfId="0" applyNumberFormat="1"/>
    <xf numFmtId="0" fontId="5" fillId="0" borderId="0" xfId="0" applyFont="1" applyFill="1"/>
    <xf numFmtId="0" fontId="5" fillId="0" borderId="0" xfId="0" applyFont="1" applyFill="1" applyAlignment="1"/>
    <xf numFmtId="0" fontId="0" fillId="0" borderId="0" xfId="0" applyFill="1" applyAlignment="1"/>
    <xf numFmtId="0" fontId="11" fillId="4" borderId="0" xfId="0" applyFont="1" applyFill="1"/>
    <xf numFmtId="164" fontId="9" fillId="0" borderId="0" xfId="1" applyNumberFormat="1" applyFont="1"/>
    <xf numFmtId="164" fontId="9" fillId="0" borderId="7" xfId="1" applyNumberFormat="1" applyFont="1" applyFill="1" applyBorder="1"/>
    <xf numFmtId="43" fontId="9" fillId="0" borderId="0" xfId="1" applyFont="1"/>
    <xf numFmtId="0" fontId="3" fillId="3" borderId="1" xfId="0" applyFont="1" applyFill="1" applyBorder="1"/>
    <xf numFmtId="164" fontId="0" fillId="0" borderId="0" xfId="0" applyNumberFormat="1"/>
    <xf numFmtId="0" fontId="0" fillId="0" borderId="8" xfId="0" applyBorder="1" applyProtection="1"/>
    <xf numFmtId="169" fontId="9" fillId="0" borderId="8" xfId="3" applyNumberFormat="1" applyFont="1" applyFill="1" applyBorder="1" applyProtection="1"/>
    <xf numFmtId="43" fontId="9" fillId="0" borderId="8" xfId="1" applyFont="1" applyFill="1" applyBorder="1" applyProtection="1"/>
    <xf numFmtId="44" fontId="0" fillId="0" borderId="8" xfId="0" applyNumberFormat="1" applyBorder="1" applyProtection="1"/>
    <xf numFmtId="164" fontId="0" fillId="0" borderId="8" xfId="0" applyNumberFormat="1" applyBorder="1" applyProtection="1"/>
    <xf numFmtId="164" fontId="9" fillId="0" borderId="8" xfId="1" applyNumberFormat="1" applyFont="1" applyBorder="1" applyProtection="1"/>
    <xf numFmtId="0" fontId="2" fillId="5" borderId="9" xfId="0" applyFont="1" applyFill="1" applyBorder="1" applyAlignment="1" applyProtection="1">
      <alignment horizontal="right"/>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43" fontId="9" fillId="4" borderId="0" xfId="1" applyFont="1" applyFill="1" applyBorder="1" applyProtection="1"/>
    <xf numFmtId="0" fontId="0" fillId="0" borderId="8" xfId="0" applyBorder="1" applyAlignment="1" applyProtection="1">
      <alignment wrapText="1"/>
    </xf>
    <xf numFmtId="0" fontId="10" fillId="0" borderId="0" xfId="0" applyFont="1" applyProtection="1"/>
    <xf numFmtId="0" fontId="0" fillId="0" borderId="12" xfId="0" applyBorder="1" applyAlignment="1" applyProtection="1">
      <alignment wrapText="1"/>
    </xf>
    <xf numFmtId="164" fontId="9" fillId="0" borderId="8" xfId="1" quotePrefix="1" applyNumberFormat="1" applyFont="1" applyBorder="1" applyProtection="1"/>
    <xf numFmtId="0" fontId="0" fillId="0" borderId="12" xfId="0" applyBorder="1" applyProtection="1"/>
    <xf numFmtId="6" fontId="0" fillId="0" borderId="8" xfId="0" quotePrefix="1" applyNumberFormat="1" applyBorder="1" applyProtection="1"/>
    <xf numFmtId="164" fontId="9" fillId="0" borderId="8" xfId="1" applyNumberFormat="1" applyFont="1" applyFill="1" applyBorder="1" applyProtection="1"/>
    <xf numFmtId="0" fontId="0" fillId="6" borderId="8" xfId="0" applyFill="1" applyBorder="1" applyProtection="1"/>
    <xf numFmtId="164" fontId="0" fillId="0" borderId="8" xfId="0" applyNumberFormat="1" applyFill="1" applyBorder="1" applyAlignment="1" applyProtection="1">
      <alignment wrapText="1"/>
    </xf>
    <xf numFmtId="164" fontId="9" fillId="0" borderId="8" xfId="1" applyNumberFormat="1" applyFon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44" fontId="9" fillId="0" borderId="8" xfId="3" quotePrefix="1" applyFont="1" applyBorder="1" applyProtection="1"/>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66" fontId="9" fillId="0" borderId="0" xfId="5" applyNumberFormat="1" applyFont="1" applyFill="1" applyBorder="1" applyProtection="1"/>
    <xf numFmtId="43" fontId="9" fillId="0" borderId="0" xfId="1" applyFont="1" applyFill="1" applyBorder="1" applyProtection="1"/>
    <xf numFmtId="0" fontId="5" fillId="2" borderId="0" xfId="0" quotePrefix="1" applyFont="1" applyFill="1" applyAlignment="1" applyProtection="1">
      <alignment horizontal="left"/>
    </xf>
    <xf numFmtId="0" fontId="5" fillId="2" borderId="0" xfId="0" applyFont="1" applyFill="1" applyProtection="1"/>
    <xf numFmtId="0" fontId="0" fillId="2" borderId="0" xfId="0" applyFill="1" applyProtection="1"/>
    <xf numFmtId="0" fontId="7" fillId="2" borderId="0" xfId="0" applyFont="1" applyFill="1" applyProtection="1"/>
    <xf numFmtId="0" fontId="7" fillId="2" borderId="0" xfId="0" quotePrefix="1" applyFont="1" applyFill="1" applyAlignment="1" applyProtection="1">
      <alignment horizontal="left"/>
    </xf>
    <xf numFmtId="0" fontId="0" fillId="2" borderId="0" xfId="0" quotePrefix="1" applyFill="1" applyAlignment="1" applyProtection="1">
      <alignment horizontal="left"/>
    </xf>
    <xf numFmtId="0" fontId="3" fillId="3" borderId="6" xfId="0" quotePrefix="1" applyFont="1" applyFill="1" applyBorder="1" applyAlignment="1" applyProtection="1">
      <alignment horizontal="left"/>
    </xf>
    <xf numFmtId="0" fontId="0" fillId="3" borderId="1" xfId="0" applyFill="1" applyBorder="1" applyProtection="1"/>
    <xf numFmtId="0" fontId="0" fillId="3" borderId="1" xfId="0" quotePrefix="1" applyFill="1" applyBorder="1" applyAlignment="1" applyProtection="1">
      <alignment horizontal="left"/>
    </xf>
    <xf numFmtId="0" fontId="0" fillId="3" borderId="2" xfId="0" applyFill="1" applyBorder="1" applyProtection="1"/>
    <xf numFmtId="0" fontId="0" fillId="3" borderId="3" xfId="0" applyFill="1" applyBorder="1" applyProtection="1"/>
    <xf numFmtId="0" fontId="0" fillId="3" borderId="4" xfId="0" applyFill="1" applyBorder="1" applyProtection="1"/>
    <xf numFmtId="0" fontId="0" fillId="3" borderId="4" xfId="0" quotePrefix="1" applyFill="1" applyBorder="1" applyAlignment="1" applyProtection="1">
      <alignment horizontal="left"/>
    </xf>
    <xf numFmtId="0" fontId="0" fillId="3" borderId="5" xfId="0" applyFill="1" applyBorder="1" applyProtection="1"/>
    <xf numFmtId="0" fontId="0" fillId="2" borderId="0" xfId="0" applyFill="1" applyBorder="1" applyProtection="1"/>
    <xf numFmtId="0" fontId="0" fillId="2" borderId="0" xfId="0" quotePrefix="1" applyFill="1" applyBorder="1" applyAlignment="1" applyProtection="1">
      <alignment horizontal="left"/>
    </xf>
    <xf numFmtId="0" fontId="11" fillId="4" borderId="0" xfId="0" applyFont="1" applyFill="1" applyBorder="1" applyProtection="1"/>
    <xf numFmtId="2" fontId="0" fillId="2" borderId="0" xfId="0" applyNumberFormat="1" applyFill="1" applyBorder="1" applyProtection="1"/>
    <xf numFmtId="0" fontId="3" fillId="2" borderId="0" xfId="0" applyFont="1" applyFill="1" applyProtection="1"/>
    <xf numFmtId="0" fontId="0" fillId="0" borderId="0" xfId="0" applyFill="1" applyAlignment="1" applyProtection="1">
      <alignment horizontal="center"/>
    </xf>
    <xf numFmtId="14" fontId="0" fillId="0" borderId="0" xfId="0" applyNumberFormat="1" applyFill="1" applyProtection="1"/>
    <xf numFmtId="0" fontId="0" fillId="0" borderId="0" xfId="0" applyFill="1" applyProtection="1"/>
    <xf numFmtId="0" fontId="0" fillId="0" borderId="0" xfId="0" applyFill="1" applyAlignment="1" applyProtection="1">
      <alignment horizontal="right"/>
    </xf>
    <xf numFmtId="0" fontId="12" fillId="0" borderId="0" xfId="0" applyFont="1" applyFill="1" applyAlignment="1" applyProtection="1">
      <alignment horizontal="center"/>
    </xf>
    <xf numFmtId="0" fontId="12" fillId="2" borderId="0" xfId="0" applyFont="1" applyFill="1" applyAlignment="1" applyProtection="1">
      <alignment horizontal="center"/>
    </xf>
    <xf numFmtId="0" fontId="0" fillId="0" borderId="0" xfId="0" applyFill="1" applyBorder="1" applyProtection="1"/>
    <xf numFmtId="164" fontId="9" fillId="2" borderId="0" xfId="1" applyNumberFormat="1" applyFont="1" applyFill="1" applyProtection="1"/>
    <xf numFmtId="6" fontId="9" fillId="0" borderId="0" xfId="3" applyNumberFormat="1" applyFont="1" applyFill="1" applyProtection="1"/>
    <xf numFmtId="43" fontId="9" fillId="0" borderId="0" xfId="1" applyFont="1" applyFill="1" applyProtection="1"/>
    <xf numFmtId="0" fontId="0" fillId="0" borderId="0" xfId="0" quotePrefix="1" applyFill="1" applyAlignment="1" applyProtection="1">
      <alignment horizontal="left"/>
    </xf>
    <xf numFmtId="43" fontId="0" fillId="2" borderId="0" xfId="0" applyNumberFormat="1" applyFill="1" applyProtection="1"/>
    <xf numFmtId="164" fontId="9" fillId="0" borderId="0" xfId="1" applyNumberFormat="1" applyFont="1" applyFill="1" applyProtection="1"/>
    <xf numFmtId="0" fontId="4" fillId="2" borderId="0" xfId="0" applyFont="1" applyFill="1" applyProtection="1"/>
    <xf numFmtId="0" fontId="3" fillId="2" borderId="0" xfId="0" applyFont="1" applyFill="1" applyAlignment="1" applyProtection="1">
      <alignment horizontal="centerContinuous"/>
    </xf>
    <xf numFmtId="0" fontId="0" fillId="0" borderId="0" xfId="0" applyFill="1" applyAlignment="1" applyProtection="1">
      <alignment horizontal="centerContinuous"/>
    </xf>
    <xf numFmtId="164" fontId="9" fillId="0" borderId="0" xfId="1" applyNumberFormat="1" applyFont="1" applyFill="1" applyAlignment="1" applyProtection="1">
      <alignment horizontal="centerContinuous"/>
    </xf>
    <xf numFmtId="0" fontId="0" fillId="0" borderId="0" xfId="0" quotePrefix="1" applyFill="1" applyAlignment="1" applyProtection="1">
      <alignment horizontal="centerContinuous"/>
    </xf>
    <xf numFmtId="0" fontId="0" fillId="2" borderId="4" xfId="0" applyFill="1" applyBorder="1" applyProtection="1"/>
    <xf numFmtId="0" fontId="10" fillId="2" borderId="4" xfId="0" applyFont="1" applyFill="1" applyBorder="1" applyAlignment="1" applyProtection="1">
      <alignment horizontal="right"/>
    </xf>
    <xf numFmtId="14" fontId="0" fillId="0" borderId="4" xfId="0" applyNumberFormat="1" applyFill="1" applyBorder="1" applyProtection="1"/>
    <xf numFmtId="0" fontId="0" fillId="0" borderId="4" xfId="0" applyFill="1" applyBorder="1" applyAlignment="1" applyProtection="1">
      <alignment horizontal="center"/>
    </xf>
    <xf numFmtId="0" fontId="0" fillId="2" borderId="4" xfId="0" applyFill="1" applyBorder="1" applyAlignment="1" applyProtection="1">
      <alignment horizontal="right"/>
    </xf>
    <xf numFmtId="0" fontId="10" fillId="2" borderId="4" xfId="0" applyFont="1" applyFill="1" applyBorder="1" applyAlignment="1" applyProtection="1">
      <alignment horizontal="centerContinuous"/>
    </xf>
    <xf numFmtId="0" fontId="0" fillId="0" borderId="4" xfId="0" applyFill="1" applyBorder="1" applyAlignment="1" applyProtection="1">
      <alignment horizontal="centerContinuous"/>
    </xf>
    <xf numFmtId="164" fontId="9" fillId="0" borderId="4" xfId="1" applyNumberFormat="1" applyFont="1" applyFill="1" applyBorder="1" applyAlignment="1" applyProtection="1">
      <alignment horizontal="centerContinuous"/>
    </xf>
    <xf numFmtId="0" fontId="0" fillId="0" borderId="4" xfId="0" quotePrefix="1" applyFill="1" applyBorder="1" applyAlignment="1" applyProtection="1">
      <alignment horizontal="centerContinuous"/>
    </xf>
    <xf numFmtId="0" fontId="0" fillId="0" borderId="0" xfId="0" quotePrefix="1" applyFill="1" applyBorder="1" applyAlignment="1" applyProtection="1">
      <alignment horizontal="centerContinuous"/>
    </xf>
    <xf numFmtId="0" fontId="3" fillId="2" borderId="4" xfId="0" applyFont="1" applyFill="1" applyBorder="1" applyAlignment="1" applyProtection="1">
      <alignment horizontal="centerContinuous" wrapText="1"/>
    </xf>
    <xf numFmtId="0" fontId="10" fillId="0" borderId="4" xfId="0" applyFont="1" applyFill="1" applyBorder="1" applyAlignment="1" applyProtection="1">
      <alignment horizontal="centerContinuous"/>
    </xf>
    <xf numFmtId="0" fontId="0" fillId="2" borderId="0" xfId="0" applyFill="1" applyBorder="1" applyAlignment="1" applyProtection="1">
      <alignment horizontal="centerContinuous" wrapText="1"/>
    </xf>
    <xf numFmtId="164" fontId="9" fillId="2" borderId="4" xfId="1" applyNumberFormat="1" applyFont="1" applyFill="1" applyBorder="1" applyAlignment="1" applyProtection="1">
      <alignment horizontal="centerContinuous"/>
    </xf>
    <xf numFmtId="0" fontId="0" fillId="2" borderId="4" xfId="0" applyFill="1" applyBorder="1" applyAlignment="1" applyProtection="1">
      <alignment horizontal="centerContinuous"/>
    </xf>
    <xf numFmtId="0" fontId="0" fillId="2" borderId="7" xfId="0" applyFill="1" applyBorder="1" applyAlignment="1" applyProtection="1">
      <alignment horizontal="centerContinuous"/>
    </xf>
    <xf numFmtId="43" fontId="10" fillId="0" borderId="0" xfId="0" applyNumberFormat="1" applyFont="1" applyFill="1" applyBorder="1" applyAlignment="1" applyProtection="1">
      <alignment horizontal="centerContinuous"/>
    </xf>
    <xf numFmtId="43" fontId="0" fillId="0" borderId="0" xfId="0" applyNumberFormat="1" applyFill="1" applyBorder="1" applyAlignment="1" applyProtection="1">
      <alignment horizontal="centerContinuous"/>
    </xf>
    <xf numFmtId="0" fontId="0" fillId="2" borderId="0" xfId="0" applyFill="1" applyBorder="1" applyAlignment="1" applyProtection="1">
      <alignment horizontal="centerContinuous"/>
    </xf>
    <xf numFmtId="0" fontId="10" fillId="2" borderId="0" xfId="0" applyFont="1" applyFill="1" applyProtection="1"/>
    <xf numFmtId="0" fontId="3" fillId="2" borderId="0" xfId="0" quotePrefix="1" applyFont="1" applyFill="1" applyAlignment="1" applyProtection="1">
      <alignment horizontal="center" wrapText="1"/>
    </xf>
    <xf numFmtId="0" fontId="3" fillId="0" borderId="0" xfId="0" applyFont="1" applyFill="1" applyAlignment="1" applyProtection="1">
      <alignment horizontal="center" wrapText="1"/>
    </xf>
    <xf numFmtId="0" fontId="3" fillId="2" borderId="0" xfId="0" applyFont="1" applyFill="1" applyAlignment="1" applyProtection="1">
      <alignment horizontal="center" wrapText="1"/>
    </xf>
    <xf numFmtId="0" fontId="3" fillId="0" borderId="0" xfId="0" applyFont="1" applyFill="1" applyBorder="1" applyAlignment="1" applyProtection="1">
      <alignment horizontal="center" wrapText="1"/>
    </xf>
    <xf numFmtId="0" fontId="3" fillId="2" borderId="0" xfId="0" applyFont="1" applyFill="1" applyAlignment="1" applyProtection="1">
      <alignment horizontal="right"/>
    </xf>
    <xf numFmtId="44" fontId="9" fillId="0" borderId="0" xfId="3" applyFont="1" applyFill="1" applyProtection="1"/>
    <xf numFmtId="168" fontId="9" fillId="0" borderId="0" xfId="1" applyNumberFormat="1" applyFont="1" applyFill="1" applyAlignment="1" applyProtection="1">
      <alignment horizontal="center"/>
    </xf>
    <xf numFmtId="44" fontId="9" fillId="2" borderId="0" xfId="3" applyFont="1" applyFill="1" applyProtection="1"/>
    <xf numFmtId="168" fontId="9" fillId="0" borderId="0" xfId="1" applyNumberFormat="1" applyFont="1" applyFill="1" applyBorder="1" applyAlignment="1" applyProtection="1">
      <alignment horizontal="center"/>
    </xf>
    <xf numFmtId="43" fontId="0" fillId="0" borderId="0" xfId="0" applyNumberFormat="1" applyFill="1" applyBorder="1" applyAlignment="1" applyProtection="1">
      <alignment horizontal="center"/>
    </xf>
    <xf numFmtId="43" fontId="0" fillId="2" borderId="0" xfId="0" applyNumberFormat="1" applyFill="1" applyBorder="1" applyAlignment="1" applyProtection="1">
      <alignment horizontal="center"/>
    </xf>
    <xf numFmtId="43" fontId="0" fillId="0" borderId="0" xfId="0" quotePrefix="1" applyNumberFormat="1" applyFill="1" applyAlignment="1" applyProtection="1">
      <alignment horizontal="center"/>
    </xf>
    <xf numFmtId="164" fontId="0" fillId="0" borderId="0" xfId="0" applyNumberFormat="1" applyFill="1" applyProtection="1"/>
    <xf numFmtId="43" fontId="0" fillId="0" borderId="0" xfId="0" applyNumberFormat="1" applyFill="1" applyProtection="1"/>
    <xf numFmtId="43" fontId="9" fillId="2" borderId="0" xfId="1" applyFont="1" applyFill="1" applyProtection="1"/>
    <xf numFmtId="43" fontId="13" fillId="0" borderId="0" xfId="1" applyFont="1" applyFill="1" applyProtection="1"/>
    <xf numFmtId="44" fontId="0" fillId="0" borderId="0" xfId="0" applyNumberFormat="1" applyFill="1" applyProtection="1"/>
    <xf numFmtId="0" fontId="12" fillId="2" borderId="0" xfId="0" applyFont="1" applyFill="1" applyProtection="1"/>
    <xf numFmtId="43" fontId="14" fillId="0" borderId="0" xfId="0" applyNumberFormat="1" applyFont="1" applyFill="1" applyBorder="1" applyAlignment="1" applyProtection="1">
      <alignment horizontal="center"/>
    </xf>
    <xf numFmtId="0" fontId="11" fillId="2" borderId="0" xfId="0" applyFont="1" applyFill="1" applyProtection="1"/>
    <xf numFmtId="169" fontId="9" fillId="0" borderId="0" xfId="3" applyNumberFormat="1" applyFont="1" applyFill="1" applyProtection="1"/>
    <xf numFmtId="43" fontId="13" fillId="0" borderId="0" xfId="0" applyNumberFormat="1" applyFont="1" applyFill="1" applyBorder="1" applyProtection="1"/>
    <xf numFmtId="9" fontId="9" fillId="0" borderId="0" xfId="5" applyFont="1" applyFill="1" applyProtection="1"/>
    <xf numFmtId="44" fontId="0" fillId="2" borderId="0" xfId="0" applyNumberFormat="1" applyFill="1" applyProtection="1"/>
    <xf numFmtId="0" fontId="3" fillId="2" borderId="0" xfId="0" applyFont="1" applyFill="1" applyAlignment="1" applyProtection="1">
      <alignment horizontal="left"/>
    </xf>
    <xf numFmtId="0" fontId="0" fillId="0" borderId="0" xfId="0" quotePrefix="1" applyFill="1" applyBorder="1" applyProtection="1"/>
    <xf numFmtId="0" fontId="3" fillId="0" borderId="0" xfId="0" applyFont="1" applyFill="1" applyAlignment="1" applyProtection="1">
      <alignment horizontal="left"/>
    </xf>
    <xf numFmtId="2" fontId="0" fillId="0" borderId="0" xfId="0" applyNumberFormat="1" applyFill="1" applyProtection="1"/>
    <xf numFmtId="165" fontId="9" fillId="0" borderId="0" xfId="1" quotePrefix="1" applyNumberFormat="1" applyFont="1" applyFill="1" applyAlignment="1" applyProtection="1">
      <alignment horizontal="left"/>
    </xf>
    <xf numFmtId="0" fontId="0" fillId="0" borderId="0" xfId="0" applyFill="1" applyAlignment="1" applyProtection="1">
      <alignment horizontal="left"/>
    </xf>
    <xf numFmtId="0" fontId="0" fillId="0" borderId="0" xfId="0" quotePrefix="1" applyFill="1" applyBorder="1" applyAlignment="1" applyProtection="1">
      <alignment horizontal="left"/>
    </xf>
    <xf numFmtId="0" fontId="3" fillId="0" borderId="0" xfId="0" applyFont="1" applyFill="1" applyBorder="1" applyProtection="1"/>
    <xf numFmtId="0" fontId="2" fillId="0" borderId="0" xfId="0" applyFont="1" applyFill="1" applyBorder="1" applyAlignment="1" applyProtection="1">
      <alignment horizontal="right"/>
    </xf>
    <xf numFmtId="0" fontId="0" fillId="0" borderId="0" xfId="0" applyFill="1" applyBorder="1" applyAlignment="1" applyProtection="1">
      <alignment horizontal="center" wrapText="1"/>
    </xf>
    <xf numFmtId="0" fontId="0" fillId="0" borderId="0" xfId="0" quotePrefix="1" applyFill="1" applyBorder="1" applyAlignment="1" applyProtection="1">
      <alignment horizontal="right"/>
    </xf>
    <xf numFmtId="0" fontId="3" fillId="0" borderId="0" xfId="0" applyFont="1" applyFill="1" applyBorder="1" applyAlignment="1" applyProtection="1">
      <alignment horizontal="left"/>
    </xf>
    <xf numFmtId="44" fontId="0" fillId="0" borderId="0" xfId="0" applyNumberFormat="1" applyFill="1" applyBorder="1" applyProtection="1"/>
    <xf numFmtId="43" fontId="0" fillId="0" borderId="0" xfId="0" applyNumberFormat="1" applyFill="1" applyBorder="1" applyProtection="1"/>
    <xf numFmtId="44" fontId="9" fillId="0" borderId="0" xfId="3" applyFont="1" applyFill="1" applyBorder="1" applyProtection="1"/>
    <xf numFmtId="2" fontId="0" fillId="0" borderId="0" xfId="0" applyNumberFormat="1" applyFill="1" applyBorder="1" applyProtection="1"/>
    <xf numFmtId="9" fontId="9" fillId="0" borderId="0" xfId="1" applyNumberFormat="1" applyFont="1" applyFill="1" applyBorder="1" applyProtection="1"/>
    <xf numFmtId="9" fontId="9" fillId="0" borderId="0" xfId="5" applyFont="1" applyFill="1" applyBorder="1" applyProtection="1"/>
    <xf numFmtId="0" fontId="0" fillId="0" borderId="0" xfId="0" applyFill="1" applyBorder="1" applyAlignment="1" applyProtection="1">
      <alignment horizontal="left"/>
    </xf>
    <xf numFmtId="164" fontId="9" fillId="0" borderId="0" xfId="1" applyNumberFormat="1" applyFont="1" applyFill="1" applyBorder="1" applyProtection="1"/>
    <xf numFmtId="164" fontId="0" fillId="0" borderId="0" xfId="0" applyNumberFormat="1" applyFill="1" applyBorder="1" applyProtection="1"/>
    <xf numFmtId="0" fontId="0" fillId="2" borderId="0" xfId="0" applyFill="1" applyAlignment="1" applyProtection="1">
      <alignment horizontal="left"/>
    </xf>
    <xf numFmtId="165" fontId="0" fillId="2" borderId="0" xfId="0" applyNumberFormat="1" applyFill="1" applyProtection="1"/>
    <xf numFmtId="0" fontId="0" fillId="2" borderId="0" xfId="0" applyFill="1" applyAlignment="1" applyProtection="1">
      <alignment horizontal="center" wrapText="1"/>
    </xf>
    <xf numFmtId="0" fontId="4" fillId="2" borderId="0" xfId="0" applyFont="1" applyFill="1" applyAlignment="1" applyProtection="1">
      <alignment horizontal="center"/>
    </xf>
    <xf numFmtId="0" fontId="0" fillId="2" borderId="0" xfId="0" applyFill="1" applyAlignment="1" applyProtection="1">
      <alignment horizontal="center"/>
    </xf>
    <xf numFmtId="1" fontId="0" fillId="2" borderId="0" xfId="0" applyNumberFormat="1" applyFill="1" applyAlignment="1" applyProtection="1">
      <alignment horizontal="center"/>
    </xf>
    <xf numFmtId="1" fontId="0" fillId="0" borderId="0" xfId="0" applyNumberFormat="1" applyFill="1" applyAlignment="1" applyProtection="1">
      <alignment horizontal="center"/>
    </xf>
    <xf numFmtId="0" fontId="5" fillId="5" borderId="0" xfId="0" applyFont="1" applyFill="1" applyProtection="1">
      <protection locked="0"/>
    </xf>
    <xf numFmtId="0" fontId="5" fillId="0" borderId="0" xfId="0" applyFont="1" applyFill="1" applyProtection="1"/>
    <xf numFmtId="14" fontId="0" fillId="5" borderId="0" xfId="0" applyNumberFormat="1" applyFill="1" applyProtection="1">
      <protection locked="0"/>
    </xf>
    <xf numFmtId="6" fontId="9" fillId="5" borderId="0" xfId="3" applyNumberFormat="1" applyFont="1" applyFill="1" applyProtection="1">
      <protection locked="0"/>
    </xf>
    <xf numFmtId="164" fontId="9" fillId="5" borderId="0" xfId="1" applyNumberFormat="1" applyFont="1" applyFill="1" applyProtection="1">
      <protection locked="0"/>
    </xf>
    <xf numFmtId="168" fontId="9" fillId="5" borderId="0" xfId="1" applyNumberFormat="1" applyFont="1" applyFill="1" applyAlignment="1" applyProtection="1">
      <alignment horizontal="center"/>
      <protection locked="0"/>
    </xf>
    <xf numFmtId="0" fontId="5" fillId="0" borderId="0" xfId="0" applyFont="1" applyFill="1" applyAlignment="1" applyProtection="1"/>
    <xf numFmtId="0" fontId="0" fillId="0" borderId="0" xfId="0" applyFill="1" applyAlignment="1" applyProtection="1"/>
    <xf numFmtId="0" fontId="0" fillId="0" borderId="0" xfId="0" applyAlignment="1" applyProtection="1"/>
    <xf numFmtId="0" fontId="0" fillId="4" borderId="0" xfId="0" applyFill="1" applyBorder="1" applyProtection="1"/>
    <xf numFmtId="0" fontId="0" fillId="4" borderId="0" xfId="0" quotePrefix="1" applyFill="1" applyBorder="1" applyAlignment="1" applyProtection="1">
      <alignment horizontal="left"/>
    </xf>
    <xf numFmtId="0" fontId="0" fillId="4" borderId="0" xfId="0" applyFill="1" applyProtection="1"/>
    <xf numFmtId="44" fontId="0" fillId="0" borderId="0" xfId="0" applyNumberFormat="1" applyProtection="1"/>
    <xf numFmtId="164" fontId="9" fillId="0" borderId="0" xfId="1" applyNumberFormat="1" applyFont="1" applyProtection="1"/>
    <xf numFmtId="164" fontId="0" fillId="0" borderId="0" xfId="0" applyNumberFormat="1" applyProtection="1"/>
    <xf numFmtId="14" fontId="5" fillId="0" borderId="0" xfId="0" applyNumberFormat="1" applyFont="1" applyFill="1" applyAlignment="1" applyProtection="1">
      <alignment horizontal="left"/>
    </xf>
    <xf numFmtId="0" fontId="15" fillId="0" borderId="0" xfId="0" applyFont="1" applyAlignment="1">
      <alignment horizontal="center" vertical="center" wrapText="1"/>
    </xf>
    <xf numFmtId="0" fontId="15" fillId="0" borderId="0" xfId="0" applyFont="1" applyFill="1" applyAlignment="1">
      <alignment horizontal="center" vertical="center" wrapText="1"/>
    </xf>
    <xf numFmtId="49" fontId="5" fillId="5" borderId="0" xfId="0" applyNumberFormat="1" applyFont="1" applyFill="1" applyProtection="1">
      <protection locked="0"/>
    </xf>
    <xf numFmtId="49" fontId="5" fillId="0" borderId="0" xfId="0" applyNumberFormat="1" applyFont="1" applyFill="1" applyAlignment="1"/>
    <xf numFmtId="0" fontId="12" fillId="2" borderId="0" xfId="0" applyFont="1" applyFill="1" applyAlignment="1" applyProtection="1">
      <alignment horizontal="center" wrapText="1"/>
    </xf>
    <xf numFmtId="38" fontId="9" fillId="5" borderId="0" xfId="1" applyNumberFormat="1" applyFont="1" applyFill="1" applyProtection="1">
      <protection locked="0"/>
    </xf>
    <xf numFmtId="8" fontId="9" fillId="0" borderId="0" xfId="3" quotePrefix="1" applyNumberFormat="1" applyFont="1" applyFill="1" applyAlignment="1" applyProtection="1">
      <alignment horizontal="right"/>
    </xf>
    <xf numFmtId="43" fontId="9" fillId="0" borderId="0" xfId="1" quotePrefix="1" applyFont="1" applyFill="1" applyAlignment="1" applyProtection="1">
      <alignment horizontal="right"/>
    </xf>
    <xf numFmtId="7" fontId="9" fillId="5" borderId="0" xfId="3" applyNumberFormat="1" applyFont="1" applyFill="1" applyAlignment="1" applyProtection="1">
      <alignment horizontal="right"/>
      <protection locked="0"/>
    </xf>
    <xf numFmtId="40" fontId="9" fillId="5" borderId="0" xfId="1" applyNumberFormat="1" applyFont="1" applyFill="1" applyProtection="1">
      <protection locked="0"/>
    </xf>
    <xf numFmtId="40" fontId="9" fillId="5" borderId="0" xfId="1" applyNumberFormat="1" applyFont="1" applyFill="1" applyProtection="1">
      <protection locked="0"/>
    </xf>
    <xf numFmtId="8" fontId="9" fillId="5" borderId="0" xfId="3" applyNumberFormat="1" applyFont="1" applyFill="1" applyProtection="1">
      <protection locked="0"/>
    </xf>
    <xf numFmtId="40" fontId="9" fillId="0" borderId="0" xfId="1" applyNumberFormat="1" applyFont="1" applyFill="1" applyProtection="1"/>
    <xf numFmtId="40" fontId="13" fillId="0" borderId="0" xfId="1" applyNumberFormat="1" applyFont="1" applyFill="1" applyProtection="1"/>
    <xf numFmtId="8" fontId="9" fillId="0" borderId="0" xfId="3" applyNumberFormat="1" applyFont="1" applyFill="1" applyProtection="1"/>
    <xf numFmtId="7" fontId="9" fillId="0" borderId="0" xfId="3" applyNumberFormat="1" applyFont="1" applyFill="1" applyProtection="1"/>
    <xf numFmtId="40" fontId="0" fillId="0" borderId="0" xfId="0" applyNumberFormat="1" applyFill="1" applyProtection="1"/>
    <xf numFmtId="8" fontId="9" fillId="5" borderId="0" xfId="3" applyNumberFormat="1" applyFont="1" applyFill="1" applyBorder="1" applyProtection="1">
      <protection locked="0"/>
    </xf>
    <xf numFmtId="40" fontId="9" fillId="2" borderId="0" xfId="1" applyNumberFormat="1" applyFont="1" applyFill="1" applyProtection="1"/>
    <xf numFmtId="8" fontId="9" fillId="2" borderId="0" xfId="3" applyNumberFormat="1" applyFont="1" applyFill="1" applyProtection="1"/>
    <xf numFmtId="38" fontId="13" fillId="0" borderId="0" xfId="1" applyNumberFormat="1" applyFont="1" applyFill="1" applyProtection="1"/>
    <xf numFmtId="38" fontId="9" fillId="0" borderId="0" xfId="1" applyNumberFormat="1" applyFont="1" applyFill="1" applyProtection="1"/>
    <xf numFmtId="38" fontId="9" fillId="0" borderId="0" xfId="1" applyNumberFormat="1" applyFont="1" applyFill="1" applyProtection="1"/>
    <xf numFmtId="8" fontId="0" fillId="2" borderId="0" xfId="0" applyNumberFormat="1" applyFill="1" applyProtection="1"/>
    <xf numFmtId="8" fontId="0" fillId="0" borderId="0" xfId="0" applyNumberFormat="1" applyFont="1" applyFill="1" applyProtection="1"/>
    <xf numFmtId="40" fontId="0" fillId="2" borderId="0" xfId="0" applyNumberFormat="1" applyFill="1" applyProtection="1"/>
    <xf numFmtId="40" fontId="0" fillId="2" borderId="0" xfId="0" applyNumberFormat="1" applyFont="1" applyFill="1" applyProtection="1"/>
    <xf numFmtId="40" fontId="13" fillId="2" borderId="0" xfId="0" applyNumberFormat="1" applyFont="1" applyFill="1" applyProtection="1"/>
    <xf numFmtId="0" fontId="10" fillId="2" borderId="1" xfId="0" applyFont="1" applyFill="1" applyBorder="1" applyAlignment="1" applyProtection="1">
      <alignment horizontal="center"/>
    </xf>
    <xf numFmtId="0" fontId="11" fillId="2" borderId="0" xfId="0" applyFont="1" applyFill="1" applyBorder="1" applyAlignment="1" applyProtection="1">
      <alignment horizontal="center"/>
    </xf>
    <xf numFmtId="43" fontId="14" fillId="0" borderId="0" xfId="0" applyNumberFormat="1" applyFont="1" applyFill="1" applyBorder="1" applyAlignment="1" applyProtection="1">
      <alignment horizontal="right"/>
    </xf>
    <xf numFmtId="49" fontId="0" fillId="5" borderId="0" xfId="0" quotePrefix="1" applyNumberFormat="1" applyFill="1" applyAlignment="1" applyProtection="1">
      <alignment horizontal="center"/>
      <protection locked="0"/>
    </xf>
    <xf numFmtId="49" fontId="0" fillId="0" borderId="0" xfId="0" applyNumberFormat="1"/>
    <xf numFmtId="40" fontId="9" fillId="5" borderId="0" xfId="3" applyNumberFormat="1" applyFont="1" applyFill="1" applyProtection="1">
      <protection locked="0"/>
    </xf>
    <xf numFmtId="0" fontId="0" fillId="0" borderId="0" xfId="0" quotePrefix="1" applyAlignment="1">
      <alignment wrapText="1"/>
    </xf>
    <xf numFmtId="0" fontId="10" fillId="0" borderId="10" xfId="0" applyFont="1" applyBorder="1" applyAlignment="1" applyProtection="1">
      <alignment horizontal="center" vertical="center" textRotation="90"/>
    </xf>
    <xf numFmtId="0" fontId="0" fillId="0" borderId="0" xfId="0"/>
    <xf numFmtId="0" fontId="0" fillId="2" borderId="0" xfId="0" applyFill="1"/>
    <xf numFmtId="0" fontId="0" fillId="0" borderId="0" xfId="0" applyFill="1" applyBorder="1"/>
    <xf numFmtId="0" fontId="0" fillId="3" borderId="3" xfId="0" applyFill="1" applyBorder="1"/>
    <xf numFmtId="0" fontId="0" fillId="3" borderId="4" xfId="0" applyFill="1" applyBorder="1"/>
    <xf numFmtId="0" fontId="3" fillId="3" borderId="6" xfId="0" applyFont="1" applyFill="1" applyBorder="1"/>
    <xf numFmtId="0" fontId="0" fillId="2" borderId="8" xfId="0" applyFill="1" applyBorder="1"/>
    <xf numFmtId="0" fontId="10" fillId="4" borderId="0" xfId="0" applyFont="1" applyFill="1" applyBorder="1"/>
    <xf numFmtId="44" fontId="0" fillId="0" borderId="0" xfId="0" applyNumberFormat="1" applyBorder="1" applyAlignment="1">
      <alignment horizontal="center"/>
    </xf>
    <xf numFmtId="0" fontId="0" fillId="0" borderId="3" xfId="0" applyFont="1" applyBorder="1" applyAlignment="1">
      <alignment horizontal="center"/>
    </xf>
    <xf numFmtId="0" fontId="3" fillId="3" borderId="1" xfId="0" applyFont="1" applyFill="1" applyBorder="1"/>
    <xf numFmtId="164" fontId="0" fillId="0" borderId="8" xfId="0" quotePrefix="1" applyNumberFormat="1" applyBorder="1" applyProtection="1"/>
    <xf numFmtId="172" fontId="0" fillId="5" borderId="0" xfId="0" applyNumberFormat="1" applyFill="1" applyProtection="1">
      <protection locked="0"/>
    </xf>
    <xf numFmtId="2" fontId="0" fillId="5" borderId="0" xfId="0" applyNumberFormat="1" applyFill="1" applyProtection="1">
      <protection locked="0"/>
    </xf>
    <xf numFmtId="10" fontId="9" fillId="5" borderId="0" xfId="5" applyNumberFormat="1" applyFont="1" applyFill="1" applyProtection="1">
      <protection locked="0"/>
    </xf>
    <xf numFmtId="0" fontId="0" fillId="0" borderId="1" xfId="0" applyBorder="1" applyProtection="1"/>
    <xf numFmtId="0" fontId="0" fillId="0" borderId="4" xfId="0" applyBorder="1" applyProtection="1"/>
    <xf numFmtId="170" fontId="9" fillId="5" borderId="8" xfId="1" applyNumberFormat="1" applyFont="1" applyFill="1" applyBorder="1" applyProtection="1">
      <protection locked="0"/>
    </xf>
    <xf numFmtId="170" fontId="9" fillId="4" borderId="8" xfId="1" applyNumberFormat="1" applyFont="1" applyFill="1" applyBorder="1" applyProtection="1"/>
    <xf numFmtId="10" fontId="9" fillId="5" borderId="8" xfId="5" applyNumberFormat="1" applyFont="1" applyFill="1" applyBorder="1" applyProtection="1">
      <protection locked="0"/>
    </xf>
    <xf numFmtId="10" fontId="9" fillId="0" borderId="8" xfId="5" applyNumberFormat="1" applyFont="1" applyFill="1" applyBorder="1" applyProtection="1"/>
    <xf numFmtId="170" fontId="9" fillId="0" borderId="8" xfId="1" applyNumberFormat="1" applyFont="1" applyBorder="1" applyProtection="1"/>
    <xf numFmtId="10" fontId="9" fillId="2" borderId="0" xfId="5" applyNumberFormat="1" applyFont="1" applyFill="1" applyProtection="1"/>
    <xf numFmtId="10" fontId="9" fillId="0" borderId="0" xfId="5" applyNumberFormat="1" applyFont="1" applyFill="1" applyProtection="1"/>
    <xf numFmtId="10" fontId="0" fillId="2" borderId="0" xfId="0" applyNumberFormat="1" applyFill="1" applyProtection="1"/>
    <xf numFmtId="0" fontId="0" fillId="6" borderId="8" xfId="0" applyFill="1" applyBorder="1" applyProtection="1"/>
    <xf numFmtId="0" fontId="0" fillId="0" borderId="0" xfId="0"/>
    <xf numFmtId="0" fontId="0" fillId="2" borderId="8" xfId="0" applyFill="1" applyBorder="1"/>
    <xf numFmtId="43" fontId="0" fillId="0" borderId="0" xfId="0" applyNumberFormat="1"/>
    <xf numFmtId="44" fontId="0" fillId="0" borderId="0" xfId="0" applyNumberFormat="1" applyBorder="1" applyAlignment="1">
      <alignment horizontal="center"/>
    </xf>
    <xf numFmtId="0" fontId="0" fillId="0" borderId="3" xfId="0" applyFont="1" applyBorder="1" applyAlignment="1">
      <alignment horizontal="center"/>
    </xf>
    <xf numFmtId="165" fontId="0" fillId="0" borderId="0" xfId="0" applyNumberFormat="1"/>
    <xf numFmtId="164" fontId="0" fillId="0" borderId="0" xfId="0" applyNumberFormat="1"/>
    <xf numFmtId="0" fontId="0" fillId="0" borderId="8" xfId="0" applyBorder="1" applyProtection="1"/>
    <xf numFmtId="0" fontId="0" fillId="4" borderId="8" xfId="0" quotePrefix="1" applyFill="1" applyBorder="1" applyAlignment="1" applyProtection="1">
      <alignment horizontal="right"/>
    </xf>
    <xf numFmtId="44" fontId="0" fillId="0" borderId="8" xfId="0" applyNumberFormat="1" applyBorder="1" applyProtection="1"/>
    <xf numFmtId="164" fontId="0" fillId="0" borderId="8" xfId="0" applyNumberFormat="1" applyBorder="1" applyProtection="1"/>
    <xf numFmtId="0" fontId="0" fillId="5" borderId="10" xfId="0" applyFill="1" applyBorder="1" applyAlignment="1" applyProtection="1">
      <alignment horizontal="center" wrapText="1"/>
      <protection locked="0"/>
    </xf>
    <xf numFmtId="9" fontId="0" fillId="5" borderId="11" xfId="0" quotePrefix="1" applyNumberFormat="1" applyFill="1" applyBorder="1" applyAlignment="1" applyProtection="1">
      <alignment horizontal="center"/>
      <protection locked="0"/>
    </xf>
    <xf numFmtId="0" fontId="0" fillId="0" borderId="0" xfId="0" applyProtection="1"/>
    <xf numFmtId="0" fontId="0" fillId="2" borderId="8" xfId="0" applyFill="1" applyBorder="1" applyProtection="1"/>
    <xf numFmtId="0" fontId="0" fillId="2" borderId="9" xfId="0" applyFill="1" applyBorder="1" applyProtection="1"/>
    <xf numFmtId="0" fontId="0" fillId="2" borderId="10" xfId="0" applyFill="1" applyBorder="1" applyProtection="1"/>
    <xf numFmtId="0" fontId="0" fillId="2" borderId="8" xfId="0" applyFill="1" applyBorder="1" applyAlignment="1" applyProtection="1">
      <alignment vertical="center"/>
    </xf>
    <xf numFmtId="0" fontId="0" fillId="2" borderId="10" xfId="0" applyFill="1" applyBorder="1" applyAlignment="1" applyProtection="1">
      <alignment vertical="center"/>
    </xf>
    <xf numFmtId="0" fontId="0" fillId="2" borderId="11" xfId="0" applyFill="1" applyBorder="1" applyProtection="1"/>
    <xf numFmtId="0" fontId="0" fillId="4" borderId="8" xfId="0" applyFill="1" applyBorder="1" applyProtection="1"/>
    <xf numFmtId="0" fontId="0" fillId="4" borderId="11" xfId="0" applyFill="1" applyBorder="1" applyProtection="1"/>
    <xf numFmtId="0" fontId="0" fillId="0" borderId="8" xfId="0" applyFill="1" applyBorder="1" applyAlignment="1" applyProtection="1">
      <alignment horizontal="left" wrapText="1"/>
    </xf>
    <xf numFmtId="0" fontId="0" fillId="0" borderId="11" xfId="0" applyFill="1" applyBorder="1" applyAlignment="1" applyProtection="1">
      <alignment horizontal="left" wrapText="1"/>
    </xf>
    <xf numFmtId="0" fontId="10" fillId="4" borderId="0" xfId="0" applyFont="1" applyFill="1" applyBorder="1" applyProtection="1"/>
    <xf numFmtId="0" fontId="0" fillId="0" borderId="8" xfId="0" applyBorder="1" applyAlignment="1" applyProtection="1">
      <alignment horizontal="center"/>
    </xf>
    <xf numFmtId="43" fontId="0" fillId="0" borderId="0" xfId="0" applyNumberFormat="1" applyProtection="1"/>
    <xf numFmtId="0" fontId="0" fillId="2" borderId="10" xfId="0" quotePrefix="1" applyFill="1" applyBorder="1" applyAlignment="1" applyProtection="1">
      <alignment horizontal="left"/>
    </xf>
    <xf numFmtId="0" fontId="0" fillId="2" borderId="10" xfId="0" applyFill="1" applyBorder="1" applyAlignment="1" applyProtection="1">
      <alignment horizontal="left"/>
    </xf>
    <xf numFmtId="0" fontId="0" fillId="2" borderId="8" xfId="0" applyFill="1" applyBorder="1" applyAlignment="1" applyProtection="1">
      <alignment horizontal="left"/>
    </xf>
    <xf numFmtId="0" fontId="0" fillId="2" borderId="0" xfId="0" applyFill="1" applyBorder="1" applyAlignment="1" applyProtection="1">
      <alignment horizontal="left"/>
    </xf>
    <xf numFmtId="0" fontId="0" fillId="0" borderId="8" xfId="0" applyBorder="1" applyAlignment="1" applyProtection="1">
      <alignment wrapText="1"/>
    </xf>
    <xf numFmtId="0" fontId="10" fillId="0" borderId="0" xfId="0" applyFont="1" applyProtection="1"/>
    <xf numFmtId="44" fontId="0" fillId="0" borderId="8" xfId="0" quotePrefix="1" applyNumberFormat="1" applyBorder="1" applyProtection="1"/>
    <xf numFmtId="0" fontId="0" fillId="0" borderId="12" xfId="0" applyBorder="1" applyAlignment="1" applyProtection="1">
      <alignment wrapText="1"/>
    </xf>
    <xf numFmtId="0" fontId="0" fillId="0" borderId="12" xfId="0" applyBorder="1" applyProtection="1"/>
    <xf numFmtId="6" fontId="0" fillId="0" borderId="8" xfId="0" quotePrefix="1" applyNumberFormat="1" applyBorder="1" applyProtection="1"/>
    <xf numFmtId="0" fontId="0" fillId="6" borderId="8" xfId="0" applyFill="1" applyBorder="1" applyProtection="1"/>
    <xf numFmtId="164" fontId="0" fillId="0" borderId="8" xfId="0" applyNumberFormat="1" applyFill="1" applyBorder="1" applyAlignment="1" applyProtection="1">
      <alignment wrapText="1"/>
    </xf>
    <xf numFmtId="0" fontId="0" fillId="0" borderId="8" xfId="0" quotePrefix="1" applyFill="1" applyBorder="1" applyAlignment="1" applyProtection="1">
      <alignment horizontal="left" wrapText="1"/>
    </xf>
    <xf numFmtId="0" fontId="0" fillId="0" borderId="8" xfId="0" applyFill="1" applyBorder="1" applyAlignment="1" applyProtection="1">
      <alignment horizontal="left" wrapText="1" indent="2"/>
    </xf>
    <xf numFmtId="6" fontId="0" fillId="0" borderId="8" xfId="0" applyNumberFormat="1" applyBorder="1" applyProtection="1"/>
    <xf numFmtId="0" fontId="10" fillId="0" borderId="10" xfId="0" applyFont="1" applyBorder="1" applyAlignment="1" applyProtection="1">
      <alignment horizontal="center" vertical="center" textRotation="90"/>
    </xf>
    <xf numFmtId="0" fontId="10" fillId="0" borderId="11" xfId="0" applyFont="1" applyBorder="1" applyAlignment="1" applyProtection="1">
      <alignment horizontal="center" vertical="center" textRotation="90"/>
    </xf>
    <xf numFmtId="0" fontId="0" fillId="0" borderId="7" xfId="0" applyBorder="1" applyProtection="1"/>
    <xf numFmtId="0" fontId="10" fillId="0" borderId="0" xfId="0" applyFont="1" applyFill="1" applyBorder="1" applyAlignment="1" applyProtection="1">
      <alignment horizontal="center" vertical="center" textRotation="90"/>
    </xf>
    <xf numFmtId="0" fontId="0" fillId="0" borderId="0" xfId="0" applyFill="1" applyBorder="1" applyAlignment="1" applyProtection="1">
      <alignment wrapText="1"/>
    </xf>
    <xf numFmtId="0" fontId="0" fillId="0" borderId="9" xfId="0" applyBorder="1" applyProtection="1"/>
    <xf numFmtId="0" fontId="0" fillId="0" borderId="10" xfId="0" applyBorder="1" applyProtection="1"/>
    <xf numFmtId="0" fontId="0" fillId="0" borderId="11" xfId="0" applyBorder="1" applyProtection="1"/>
    <xf numFmtId="0" fontId="10" fillId="0" borderId="0" xfId="0" applyFont="1" applyFill="1" applyBorder="1" applyAlignment="1" applyProtection="1"/>
    <xf numFmtId="0" fontId="0" fillId="0" borderId="0" xfId="0" applyBorder="1" applyProtection="1"/>
    <xf numFmtId="0" fontId="0" fillId="0" borderId="7" xfId="0" applyFill="1" applyBorder="1" applyAlignment="1" applyProtection="1">
      <alignment wrapText="1"/>
    </xf>
    <xf numFmtId="14" fontId="0" fillId="5" borderId="11" xfId="0" quotePrefix="1" applyNumberFormat="1" applyFill="1" applyBorder="1" applyAlignment="1" applyProtection="1">
      <alignment horizontal="center"/>
      <protection locked="0"/>
    </xf>
    <xf numFmtId="166" fontId="0" fillId="0" borderId="0" xfId="0" applyNumberFormat="1" applyBorder="1" applyProtection="1"/>
    <xf numFmtId="164" fontId="0" fillId="0" borderId="8" xfId="0" quotePrefix="1" applyNumberFormat="1" applyBorder="1" applyProtection="1"/>
    <xf numFmtId="167" fontId="0" fillId="5" borderId="10" xfId="0" applyNumberFormat="1" applyFill="1" applyBorder="1" applyAlignment="1" applyProtection="1">
      <alignment horizontal="center" wrapText="1"/>
      <protection locked="0"/>
    </xf>
    <xf numFmtId="0" fontId="0" fillId="0" borderId="13" xfId="0" applyFill="1" applyBorder="1" applyAlignment="1" applyProtection="1">
      <alignment wrapText="1"/>
    </xf>
    <xf numFmtId="0" fontId="0" fillId="0" borderId="1" xfId="0" applyBorder="1" applyProtection="1"/>
    <xf numFmtId="0" fontId="0" fillId="0" borderId="4" xfId="0" applyBorder="1" applyProtection="1"/>
    <xf numFmtId="10" fontId="0" fillId="5" borderId="11" xfId="0" quotePrefix="1" applyNumberFormat="1" applyFill="1" applyBorder="1" applyAlignment="1" applyProtection="1">
      <alignment horizontal="right"/>
      <protection locked="0"/>
    </xf>
    <xf numFmtId="10" fontId="0" fillId="0" borderId="11" xfId="0" quotePrefix="1" applyNumberFormat="1" applyFill="1" applyBorder="1" applyAlignment="1" applyProtection="1">
      <alignment horizontal="right"/>
    </xf>
    <xf numFmtId="49" fontId="0" fillId="5" borderId="9" xfId="0" applyNumberFormat="1" applyFill="1" applyBorder="1" applyAlignment="1" applyProtection="1">
      <alignment horizontal="center"/>
      <protection locked="0"/>
    </xf>
    <xf numFmtId="0" fontId="0" fillId="5" borderId="11" xfId="0" applyFill="1" applyBorder="1" applyAlignment="1" applyProtection="1">
      <alignment horizontal="center"/>
      <protection locked="0"/>
    </xf>
    <xf numFmtId="10" fontId="9" fillId="4" borderId="8" xfId="5" applyNumberFormat="1" applyFont="1" applyFill="1" applyBorder="1" applyProtection="1"/>
    <xf numFmtId="170" fontId="0" fillId="0" borderId="8" xfId="0" quotePrefix="1" applyNumberFormat="1" applyBorder="1" applyProtection="1"/>
    <xf numFmtId="170" fontId="9" fillId="5" borderId="8" xfId="3" applyNumberFormat="1" applyFont="1" applyFill="1" applyBorder="1" applyProtection="1">
      <protection locked="0"/>
    </xf>
    <xf numFmtId="171" fontId="0" fillId="0" borderId="8" xfId="0" quotePrefix="1" applyNumberFormat="1" applyBorder="1" applyProtection="1"/>
    <xf numFmtId="171" fontId="9" fillId="0" borderId="8" xfId="3" applyNumberFormat="1" applyFont="1" applyFill="1" applyBorder="1" applyProtection="1"/>
    <xf numFmtId="171" fontId="9" fillId="5" borderId="8" xfId="3" applyNumberFormat="1" applyFont="1" applyFill="1" applyBorder="1" applyProtection="1">
      <protection locked="0"/>
    </xf>
    <xf numFmtId="171" fontId="9" fillId="0" borderId="8" xfId="3" quotePrefix="1" applyNumberFormat="1" applyFont="1" applyBorder="1" applyProtection="1"/>
    <xf numFmtId="171" fontId="9" fillId="5" borderId="8" xfId="4" applyNumberFormat="1" applyFont="1" applyFill="1" applyBorder="1" applyProtection="1">
      <protection locked="0"/>
    </xf>
    <xf numFmtId="171" fontId="9" fillId="0" borderId="8" xfId="1" quotePrefix="1" applyNumberFormat="1" applyFont="1" applyBorder="1" applyProtection="1"/>
    <xf numFmtId="171" fontId="9" fillId="7" borderId="8" xfId="4" applyNumberFormat="1" applyFont="1" applyFill="1" applyBorder="1" applyProtection="1">
      <protection locked="0"/>
    </xf>
    <xf numFmtId="10" fontId="9" fillId="0" borderId="8" xfId="5" quotePrefix="1" applyNumberFormat="1" applyFont="1" applyBorder="1" applyProtection="1"/>
    <xf numFmtId="170" fontId="0" fillId="0" borderId="10" xfId="0" quotePrefix="1" applyNumberFormat="1" applyFill="1" applyBorder="1" applyProtection="1"/>
    <xf numFmtId="3" fontId="0" fillId="0" borderId="8" xfId="0" quotePrefix="1" applyNumberFormat="1" applyBorder="1" applyProtection="1"/>
    <xf numFmtId="3" fontId="9" fillId="5" borderId="8" xfId="1" applyNumberFormat="1" applyFont="1" applyFill="1" applyBorder="1" applyProtection="1">
      <protection locked="0"/>
    </xf>
    <xf numFmtId="170" fontId="0" fillId="0" borderId="9" xfId="0" quotePrefix="1" applyNumberFormat="1" applyFill="1" applyBorder="1" applyProtection="1"/>
    <xf numFmtId="170" fontId="0" fillId="5" borderId="8" xfId="0" applyNumberFormat="1" applyFill="1" applyBorder="1" applyProtection="1">
      <protection locked="0"/>
    </xf>
    <xf numFmtId="3" fontId="0" fillId="0" borderId="8" xfId="0" applyNumberFormat="1" applyBorder="1" applyProtection="1"/>
    <xf numFmtId="3" fontId="0" fillId="5" borderId="8" xfId="0" applyNumberFormat="1" applyFill="1" applyBorder="1" applyProtection="1">
      <protection locked="0"/>
    </xf>
    <xf numFmtId="170" fontId="9" fillId="0" borderId="8" xfId="3" applyNumberFormat="1" applyFont="1" applyBorder="1" applyProtection="1"/>
    <xf numFmtId="10" fontId="0" fillId="0" borderId="8" xfId="0" applyNumberFormat="1" applyBorder="1" applyAlignment="1" applyProtection="1"/>
    <xf numFmtId="10" fontId="0" fillId="5" borderId="8" xfId="0" quotePrefix="1" applyNumberFormat="1" applyFill="1" applyBorder="1" applyAlignment="1" applyProtection="1">
      <alignment horizontal="center"/>
      <protection locked="0"/>
    </xf>
    <xf numFmtId="49" fontId="0" fillId="5" borderId="8" xfId="0" quotePrefix="1" applyNumberFormat="1" applyFill="1" applyBorder="1" applyAlignment="1" applyProtection="1">
      <alignment horizontal="center"/>
      <protection locked="0"/>
    </xf>
    <xf numFmtId="0" fontId="0" fillId="0" borderId="0" xfId="0" applyAlignment="1">
      <alignment horizontal="center"/>
    </xf>
    <xf numFmtId="38" fontId="13" fillId="4" borderId="0" xfId="1" applyNumberFormat="1" applyFont="1" applyFill="1" applyProtection="1"/>
    <xf numFmtId="4" fontId="12" fillId="5" borderId="0" xfId="0" applyNumberFormat="1" applyFont="1" applyFill="1" applyProtection="1">
      <protection locked="0"/>
    </xf>
    <xf numFmtId="4" fontId="12" fillId="7" borderId="0" xfId="0" applyNumberFormat="1" applyFont="1" applyFill="1" applyProtection="1">
      <protection locked="0"/>
    </xf>
    <xf numFmtId="0" fontId="18" fillId="2" borderId="0" xfId="0" applyFont="1" applyFill="1" applyProtection="1"/>
    <xf numFmtId="0" fontId="19" fillId="2" borderId="0" xfId="0" applyFont="1" applyFill="1" applyAlignment="1" applyProtection="1">
      <alignment vertical="top" wrapText="1"/>
    </xf>
    <xf numFmtId="0" fontId="19" fillId="0" borderId="0" xfId="0" applyFont="1" applyAlignment="1">
      <alignment vertical="top" wrapText="1"/>
    </xf>
    <xf numFmtId="40" fontId="9" fillId="5" borderId="0" xfId="4" applyNumberFormat="1" applyFont="1" applyFill="1" applyBorder="1" applyProtection="1">
      <protection locked="0"/>
    </xf>
    <xf numFmtId="170" fontId="9" fillId="5" borderId="8" xfId="2" applyNumberFormat="1" applyFont="1" applyFill="1" applyBorder="1" applyProtection="1">
      <protection locked="0"/>
    </xf>
    <xf numFmtId="171" fontId="9" fillId="7" borderId="8" xfId="3" applyNumberFormat="1" applyFont="1" applyFill="1" applyBorder="1" applyProtection="1">
      <protection locked="0"/>
    </xf>
    <xf numFmtId="171" fontId="9" fillId="7" borderId="8" xfId="1" applyNumberFormat="1" applyFont="1" applyFill="1" applyBorder="1" applyProtection="1">
      <protection locked="0"/>
    </xf>
    <xf numFmtId="10" fontId="9" fillId="5" borderId="8" xfId="6" applyNumberFormat="1" applyFont="1" applyFill="1" applyBorder="1" applyProtection="1">
      <protection locked="0"/>
    </xf>
    <xf numFmtId="44" fontId="0" fillId="6" borderId="8" xfId="0" quotePrefix="1" applyNumberFormat="1" applyFill="1" applyBorder="1" applyProtection="1"/>
    <xf numFmtId="0" fontId="0" fillId="2" borderId="0" xfId="0" applyFill="1" applyAlignment="1" applyProtection="1">
      <alignment horizontal="center" wrapText="1"/>
    </xf>
    <xf numFmtId="0" fontId="10" fillId="2" borderId="7" xfId="0" applyFont="1" applyFill="1" applyBorder="1" applyAlignment="1" applyProtection="1">
      <alignment horizontal="center" wrapText="1"/>
    </xf>
    <xf numFmtId="0" fontId="0" fillId="0" borderId="7" xfId="0" applyBorder="1" applyAlignment="1" applyProtection="1">
      <alignment horizontal="center" wrapText="1"/>
    </xf>
    <xf numFmtId="0" fontId="10" fillId="0" borderId="9" xfId="0" applyFont="1" applyBorder="1" applyAlignment="1" applyProtection="1">
      <alignment horizontal="center" vertical="center" textRotation="90"/>
    </xf>
    <xf numFmtId="0" fontId="10" fillId="0" borderId="10" xfId="0" applyFont="1" applyBorder="1" applyAlignment="1" applyProtection="1">
      <alignment horizontal="center" vertical="center" textRotation="90"/>
    </xf>
    <xf numFmtId="14" fontId="5" fillId="0" borderId="0" xfId="0" applyNumberFormat="1" applyFont="1" applyFill="1" applyAlignment="1" applyProtection="1">
      <alignment horizontal="left"/>
    </xf>
    <xf numFmtId="14" fontId="16" fillId="0" borderId="0" xfId="0" applyNumberFormat="1" applyFont="1" applyFill="1" applyAlignment="1" applyProtection="1">
      <alignment horizontal="left"/>
    </xf>
    <xf numFmtId="14" fontId="5" fillId="0" borderId="0" xfId="0" applyNumberFormat="1" applyFont="1" applyFill="1" applyAlignment="1">
      <alignment horizontal="left"/>
    </xf>
    <xf numFmtId="14" fontId="16" fillId="0" borderId="0" xfId="0" applyNumberFormat="1" applyFont="1" applyFill="1" applyAlignment="1">
      <alignment horizontal="left"/>
    </xf>
    <xf numFmtId="49" fontId="0" fillId="5" borderId="6" xfId="0" applyNumberFormat="1" applyFill="1" applyBorder="1" applyAlignment="1" applyProtection="1">
      <alignment horizontal="center"/>
      <protection locked="0"/>
    </xf>
    <xf numFmtId="49" fontId="0" fillId="5" borderId="1" xfId="0" applyNumberFormat="1" applyFill="1" applyBorder="1" applyAlignment="1" applyProtection="1">
      <alignment horizontal="center"/>
      <protection locked="0"/>
    </xf>
    <xf numFmtId="49" fontId="0" fillId="5" borderId="2" xfId="0" applyNumberFormat="1" applyFill="1" applyBorder="1" applyAlignment="1" applyProtection="1">
      <alignment horizontal="center"/>
      <protection locked="0"/>
    </xf>
    <xf numFmtId="0" fontId="0" fillId="5" borderId="3" xfId="0" applyFill="1" applyBorder="1" applyAlignment="1" applyProtection="1">
      <alignment horizontal="center"/>
      <protection locked="0"/>
    </xf>
    <xf numFmtId="0" fontId="0" fillId="5" borderId="4" xfId="0" applyFill="1" applyBorder="1" applyAlignment="1" applyProtection="1">
      <alignment horizontal="center"/>
      <protection locked="0"/>
    </xf>
    <xf numFmtId="0" fontId="0" fillId="5" borderId="5" xfId="0" applyFill="1" applyBorder="1" applyAlignment="1" applyProtection="1">
      <alignment horizontal="center"/>
      <protection locked="0"/>
    </xf>
    <xf numFmtId="10" fontId="0" fillId="5" borderId="14" xfId="0" quotePrefix="1" applyNumberFormat="1" applyFill="1" applyBorder="1" applyAlignment="1" applyProtection="1">
      <alignment horizontal="center"/>
      <protection locked="0"/>
    </xf>
    <xf numFmtId="10" fontId="0" fillId="5" borderId="7" xfId="0" quotePrefix="1" applyNumberFormat="1" applyFill="1" applyBorder="1" applyAlignment="1" applyProtection="1">
      <alignment horizontal="center"/>
      <protection locked="0"/>
    </xf>
    <xf numFmtId="10" fontId="0" fillId="5" borderId="12" xfId="0" quotePrefix="1" applyNumberFormat="1" applyFill="1" applyBorder="1" applyAlignment="1" applyProtection="1">
      <alignment horizontal="center"/>
      <protection locked="0"/>
    </xf>
    <xf numFmtId="10" fontId="0" fillId="0" borderId="14" xfId="0" applyNumberFormat="1" applyBorder="1" applyAlignment="1" applyProtection="1">
      <alignment horizontal="center"/>
    </xf>
    <xf numFmtId="10" fontId="0" fillId="0" borderId="7" xfId="0" applyNumberFormat="1" applyBorder="1" applyAlignment="1" applyProtection="1">
      <alignment horizontal="center"/>
    </xf>
    <xf numFmtId="10" fontId="0" fillId="0" borderId="12" xfId="0" applyNumberFormat="1" applyBorder="1" applyAlignment="1" applyProtection="1">
      <alignment horizontal="center"/>
    </xf>
  </cellXfs>
  <cellStyles count="7">
    <cellStyle name="Comma" xfId="1" builtinId="3"/>
    <cellStyle name="Comma 2" xfId="2"/>
    <cellStyle name="Currency" xfId="3" builtinId="4"/>
    <cellStyle name="Currency 2" xfId="4"/>
    <cellStyle name="Normal" xfId="0" builtinId="0"/>
    <cellStyle name="Percent" xfId="5" builtinId="5"/>
    <cellStyle name="Percent 2" xfId="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4762</xdr:colOff>
          <xdr:row>0</xdr:row>
          <xdr:rowOff>0</xdr:rowOff>
        </xdr:from>
        <xdr:to>
          <xdr:col>5</xdr:col>
          <xdr:colOff>1042987</xdr:colOff>
          <xdr:row>1</xdr:row>
          <xdr:rowOff>21431</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321469</xdr:colOff>
          <xdr:row>0</xdr:row>
          <xdr:rowOff>0</xdr:rowOff>
        </xdr:from>
        <xdr:to>
          <xdr:col>9</xdr:col>
          <xdr:colOff>204787</xdr:colOff>
          <xdr:row>1</xdr:row>
          <xdr:rowOff>30956</xdr:rowOff>
        </xdr:to>
        <xdr:sp macro="" textlink="">
          <xdr:nvSpPr>
            <xdr:cNvPr id="1043" name="Button 19"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271462</xdr:colOff>
          <xdr:row>0</xdr:row>
          <xdr:rowOff>0</xdr:rowOff>
        </xdr:from>
        <xdr:to>
          <xdr:col>10</xdr:col>
          <xdr:colOff>523875</xdr:colOff>
          <xdr:row>1</xdr:row>
          <xdr:rowOff>30956</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14287</xdr:colOff>
          <xdr:row>0</xdr:row>
          <xdr:rowOff>0</xdr:rowOff>
        </xdr:from>
        <xdr:to>
          <xdr:col>7</xdr:col>
          <xdr:colOff>254794</xdr:colOff>
          <xdr:row>1</xdr:row>
          <xdr:rowOff>21431</xdr:rowOff>
        </xdr:to>
        <xdr:sp macro="" textlink="">
          <xdr:nvSpPr>
            <xdr:cNvPr id="1045" name="Button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66675</xdr:colOff>
          <xdr:row>1</xdr:row>
          <xdr:rowOff>19050</xdr:rowOff>
        </xdr:to>
        <xdr:sp macro="" textlink="">
          <xdr:nvSpPr>
            <xdr:cNvPr id="2078" name="Button 30" hidden="1">
              <a:extLst>
                <a:ext uri="{63B3BB69-23CF-44E3-9099-C40C66FF867C}">
                  <a14:compatExt spid="_x0000_s207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190500</xdr:colOff>
          <xdr:row>0</xdr:row>
          <xdr:rowOff>0</xdr:rowOff>
        </xdr:from>
        <xdr:to>
          <xdr:col>8</xdr:col>
          <xdr:colOff>180975</xdr:colOff>
          <xdr:row>1</xdr:row>
          <xdr:rowOff>28575</xdr:rowOff>
        </xdr:to>
        <xdr:sp macro="" textlink="">
          <xdr:nvSpPr>
            <xdr:cNvPr id="2079" name="Button 31" hidden="1">
              <a:extLst>
                <a:ext uri="{63B3BB69-23CF-44E3-9099-C40C66FF867C}">
                  <a14:compatExt spid="_x0000_s20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247650</xdr:colOff>
          <xdr:row>0</xdr:row>
          <xdr:rowOff>0</xdr:rowOff>
        </xdr:from>
        <xdr:to>
          <xdr:col>9</xdr:col>
          <xdr:colOff>238125</xdr:colOff>
          <xdr:row>1</xdr:row>
          <xdr:rowOff>28575</xdr:rowOff>
        </xdr:to>
        <xdr:sp macro="" textlink="">
          <xdr:nvSpPr>
            <xdr:cNvPr id="2080" name="Button 32" hidden="1">
              <a:extLst>
                <a:ext uri="{63B3BB69-23CF-44E3-9099-C40C66FF867C}">
                  <a14:compatExt spid="_x0000_s20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133350</xdr:colOff>
          <xdr:row>0</xdr:row>
          <xdr:rowOff>0</xdr:rowOff>
        </xdr:from>
        <xdr:to>
          <xdr:col>7</xdr:col>
          <xdr:colOff>123825</xdr:colOff>
          <xdr:row>1</xdr:row>
          <xdr:rowOff>19050</xdr:rowOff>
        </xdr:to>
        <xdr:sp macro="" textlink="">
          <xdr:nvSpPr>
            <xdr:cNvPr id="2083" name="Button 35" hidden="1">
              <a:extLst>
                <a:ext uri="{63B3BB69-23CF-44E3-9099-C40C66FF867C}">
                  <a14:compatExt spid="_x0000_s20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xdr:colOff>
          <xdr:row>0</xdr:row>
          <xdr:rowOff>0</xdr:rowOff>
        </xdr:from>
        <xdr:to>
          <xdr:col>10</xdr:col>
          <xdr:colOff>133350</xdr:colOff>
          <xdr:row>1</xdr:row>
          <xdr:rowOff>19050</xdr:rowOff>
        </xdr:to>
        <xdr:sp macro="" textlink="">
          <xdr:nvSpPr>
            <xdr:cNvPr id="2084" name="Button 36" hidden="1">
              <a:extLst>
                <a:ext uri="{63B3BB69-23CF-44E3-9099-C40C66FF867C}">
                  <a14:compatExt spid="_x0000_s208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171450</xdr:colOff>
          <xdr:row>3</xdr:row>
          <xdr:rowOff>0</xdr:rowOff>
        </xdr:from>
        <xdr:to>
          <xdr:col>10</xdr:col>
          <xdr:colOff>133350</xdr:colOff>
          <xdr:row>4</xdr:row>
          <xdr:rowOff>28575</xdr:rowOff>
        </xdr:to>
        <xdr:sp macro="" textlink="">
          <xdr:nvSpPr>
            <xdr:cNvPr id="2085" name="Button 37" hidden="1">
              <a:extLst>
                <a:ext uri="{63B3BB69-23CF-44E3-9099-C40C66FF867C}">
                  <a14:compatExt spid="_x0000_s20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Plan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T269"/>
  <sheetViews>
    <sheetView showGridLines="0" tabSelected="1" zoomScale="80" zoomScaleNormal="80" zoomScaleSheetLayoutView="40" workbookViewId="0">
      <selection activeCell="A7" sqref="A7"/>
    </sheetView>
  </sheetViews>
  <sheetFormatPr defaultColWidth="9.140625" defaultRowHeight="15" x14ac:dyDescent="0.25"/>
  <cols>
    <col min="1" max="1" width="3" style="92" customWidth="1"/>
    <col min="2" max="2" width="5" style="92" customWidth="1"/>
    <col min="3" max="3" width="10.42578125" style="92" customWidth="1"/>
    <col min="4" max="4" width="19.42578125" style="92" customWidth="1"/>
    <col min="5" max="5" width="15.42578125" style="92" customWidth="1"/>
    <col min="6" max="6" width="16.42578125" style="92" customWidth="1"/>
    <col min="7" max="7" width="12" style="92" customWidth="1"/>
    <col min="8" max="8" width="14.28515625" style="92" customWidth="1"/>
    <col min="9" max="9" width="3" style="92" customWidth="1"/>
    <col min="10" max="10" width="11.85546875" style="92" customWidth="1"/>
    <col min="11" max="11" width="9.7109375" style="92" customWidth="1"/>
    <col min="12" max="12" width="11.42578125" style="92" bestFit="1" customWidth="1"/>
    <col min="13" max="13" width="8.140625" style="92" customWidth="1"/>
    <col min="14" max="14" width="3.7109375" style="92" customWidth="1"/>
    <col min="15" max="16" width="13.85546875" style="92" customWidth="1"/>
    <col min="17" max="17" width="12.140625" style="92" customWidth="1"/>
    <col min="18" max="18" width="10.85546875" style="92" customWidth="1"/>
    <col min="19" max="19" width="15.28515625" style="92" bestFit="1" customWidth="1"/>
    <col min="20" max="20" width="12.42578125" style="92" customWidth="1"/>
    <col min="21" max="21" width="3" style="92" customWidth="1"/>
    <col min="22" max="22" width="15.7109375" style="92" customWidth="1"/>
    <col min="23" max="23" width="0.42578125" style="92" customWidth="1"/>
    <col min="24" max="24" width="21.28515625" style="92" customWidth="1"/>
    <col min="25" max="25" width="9.5703125" style="92" customWidth="1"/>
    <col min="26" max="26" width="4.140625" style="92" customWidth="1"/>
    <col min="27" max="27" width="17.140625" style="92" customWidth="1"/>
    <col min="28" max="28" width="9.140625" style="92"/>
    <col min="29" max="29" width="11.5703125" style="92" customWidth="1"/>
    <col min="30" max="30" width="11.7109375" style="92" customWidth="1"/>
    <col min="31" max="31" width="13.5703125" style="92" customWidth="1"/>
    <col min="32" max="33" width="9.140625" style="92"/>
    <col min="34" max="34" width="14.28515625" style="92" bestFit="1" customWidth="1"/>
    <col min="35" max="35" width="9.5703125" style="92" bestFit="1" customWidth="1"/>
    <col min="36" max="40" width="9.140625" style="92"/>
    <col min="41" max="41" width="11.5703125" style="92" bestFit="1" customWidth="1"/>
    <col min="42" max="42" width="10.5703125" style="92" bestFit="1" customWidth="1"/>
    <col min="43" max="43" width="9.5703125" style="92" bestFit="1" customWidth="1"/>
    <col min="44" max="16384" width="9.140625" style="92"/>
  </cols>
  <sheetData>
    <row r="1" spans="1:31" ht="18.600000000000001" customHeight="1" x14ac:dyDescent="0.3">
      <c r="A1" s="368" t="s">
        <v>196</v>
      </c>
      <c r="B1" s="90" t="s">
        <v>198</v>
      </c>
      <c r="C1" s="91"/>
      <c r="D1" s="91"/>
      <c r="E1" s="91"/>
      <c r="F1" s="90"/>
    </row>
    <row r="2" spans="1:31" ht="18.75" x14ac:dyDescent="0.3">
      <c r="B2" s="91"/>
      <c r="C2" s="91"/>
      <c r="D2" s="91"/>
      <c r="E2" s="91"/>
      <c r="F2" s="90"/>
    </row>
    <row r="3" spans="1:31" ht="18.75" x14ac:dyDescent="0.3">
      <c r="B3" s="93" t="s">
        <v>9</v>
      </c>
      <c r="C3" s="91"/>
      <c r="D3" s="91"/>
      <c r="E3" s="199" t="s">
        <v>199</v>
      </c>
      <c r="F3" s="90"/>
      <c r="G3" s="93" t="s">
        <v>15</v>
      </c>
      <c r="H3" s="199" t="s">
        <v>112</v>
      </c>
      <c r="I3" s="200"/>
    </row>
    <row r="4" spans="1:31" ht="18.75" x14ac:dyDescent="0.3">
      <c r="B4" s="94" t="s">
        <v>10</v>
      </c>
      <c r="C4" s="91"/>
      <c r="D4" s="91"/>
      <c r="E4" s="217">
        <v>76680</v>
      </c>
      <c r="F4" s="90"/>
      <c r="G4" s="93" t="s">
        <v>17</v>
      </c>
      <c r="H4" s="199" t="s">
        <v>200</v>
      </c>
      <c r="I4" s="200"/>
    </row>
    <row r="5" spans="1:31" ht="18.75" x14ac:dyDescent="0.3">
      <c r="B5" s="93" t="s">
        <v>25</v>
      </c>
      <c r="C5" s="91"/>
      <c r="D5" s="91"/>
      <c r="E5" s="214">
        <v>43101</v>
      </c>
      <c r="F5" s="90"/>
    </row>
    <row r="6" spans="1:31" ht="18.75" x14ac:dyDescent="0.3">
      <c r="B6" s="91"/>
      <c r="C6" s="91"/>
      <c r="D6" s="91"/>
      <c r="E6" s="91"/>
      <c r="F6" s="90"/>
    </row>
    <row r="7" spans="1:31" x14ac:dyDescent="0.25">
      <c r="F7" s="95"/>
    </row>
    <row r="8" spans="1:31" x14ac:dyDescent="0.25">
      <c r="B8" s="96" t="s">
        <v>4</v>
      </c>
      <c r="C8" s="97"/>
      <c r="D8" s="97"/>
      <c r="E8" s="97"/>
      <c r="F8" s="98"/>
      <c r="G8" s="97"/>
      <c r="H8" s="97"/>
      <c r="I8" s="97"/>
      <c r="J8" s="97"/>
      <c r="K8" s="97"/>
      <c r="L8" s="97"/>
      <c r="M8" s="97"/>
      <c r="N8" s="97"/>
      <c r="O8" s="97"/>
      <c r="P8" s="97"/>
      <c r="Q8" s="97"/>
      <c r="R8" s="97"/>
      <c r="S8" s="97"/>
      <c r="T8" s="97"/>
      <c r="U8" s="97"/>
      <c r="V8" s="97"/>
      <c r="W8" s="97"/>
      <c r="X8" s="97"/>
      <c r="Y8" s="99"/>
    </row>
    <row r="9" spans="1:31" x14ac:dyDescent="0.25">
      <c r="B9" s="100"/>
      <c r="C9" s="101"/>
      <c r="D9" s="101"/>
      <c r="E9" s="101"/>
      <c r="F9" s="102"/>
      <c r="G9" s="101"/>
      <c r="H9" s="101"/>
      <c r="I9" s="101"/>
      <c r="J9" s="101"/>
      <c r="K9" s="101"/>
      <c r="L9" s="101"/>
      <c r="M9" s="101"/>
      <c r="N9" s="101"/>
      <c r="O9" s="101"/>
      <c r="P9" s="101"/>
      <c r="Q9" s="101"/>
      <c r="R9" s="101"/>
      <c r="S9" s="101"/>
      <c r="T9" s="101"/>
      <c r="U9" s="101"/>
      <c r="V9" s="101"/>
      <c r="W9" s="101"/>
      <c r="X9" s="101"/>
      <c r="Y9" s="103"/>
    </row>
    <row r="10" spans="1:31" x14ac:dyDescent="0.25">
      <c r="B10" s="56"/>
      <c r="C10" s="104"/>
      <c r="D10" s="104"/>
      <c r="E10" s="104"/>
      <c r="F10" s="105"/>
      <c r="G10" s="104"/>
      <c r="H10" s="104"/>
      <c r="I10" s="104"/>
      <c r="J10" s="104"/>
      <c r="K10" s="104"/>
      <c r="L10" s="104"/>
      <c r="M10" s="104"/>
      <c r="N10" s="104"/>
      <c r="O10" s="104"/>
      <c r="P10" s="104"/>
      <c r="Q10" s="104"/>
    </row>
    <row r="11" spans="1:31" x14ac:dyDescent="0.25">
      <c r="B11" s="106" t="s">
        <v>158</v>
      </c>
      <c r="C11" s="104"/>
      <c r="D11" s="104"/>
      <c r="E11" s="107"/>
      <c r="F11" s="105"/>
      <c r="G11" s="104"/>
      <c r="H11" s="104"/>
      <c r="I11" s="104"/>
      <c r="J11" s="104"/>
      <c r="K11" s="104"/>
      <c r="L11" s="104"/>
      <c r="M11" s="104"/>
      <c r="N11" s="104"/>
      <c r="O11" s="104"/>
      <c r="P11" s="104"/>
      <c r="Q11" s="104"/>
    </row>
    <row r="12" spans="1:31" x14ac:dyDescent="0.25">
      <c r="B12" s="108" t="s">
        <v>47</v>
      </c>
      <c r="E12" s="201">
        <v>42370</v>
      </c>
      <c r="F12" s="109" t="s">
        <v>20</v>
      </c>
      <c r="G12" s="110">
        <f>EDATE(E12,12)-1</f>
        <v>42735</v>
      </c>
      <c r="H12" s="111"/>
      <c r="I12" s="111"/>
      <c r="K12" s="112"/>
      <c r="L12" s="110"/>
    </row>
    <row r="13" spans="1:31" ht="31.9" customHeight="1" x14ac:dyDescent="0.25">
      <c r="B13" s="108"/>
      <c r="F13" s="219" t="s">
        <v>157</v>
      </c>
      <c r="G13" s="113" t="s">
        <v>58</v>
      </c>
      <c r="H13" s="114" t="s">
        <v>50</v>
      </c>
      <c r="I13" s="111"/>
      <c r="L13" s="111"/>
      <c r="R13" s="111"/>
      <c r="S13" s="111"/>
      <c r="W13" s="115"/>
      <c r="X13" s="115"/>
      <c r="Y13" s="115"/>
      <c r="Z13" s="115"/>
      <c r="AA13" s="115"/>
      <c r="AE13" s="116"/>
    </row>
    <row r="14" spans="1:31" x14ac:dyDescent="0.25">
      <c r="B14" s="108" t="s">
        <v>48</v>
      </c>
      <c r="F14" s="202">
        <v>135144269.51835594</v>
      </c>
      <c r="G14" s="221">
        <f>+F14/$F$18</f>
        <v>365.35747755681581</v>
      </c>
      <c r="H14" s="274">
        <f>+G14/$G$14</f>
        <v>1</v>
      </c>
      <c r="I14" s="117"/>
      <c r="L14" s="111"/>
      <c r="R14" s="111"/>
      <c r="S14" s="111"/>
      <c r="W14" s="115"/>
      <c r="X14" s="115"/>
      <c r="Y14" s="115"/>
      <c r="Z14" s="115"/>
      <c r="AA14" s="115"/>
      <c r="AE14" s="116"/>
    </row>
    <row r="15" spans="1:31" x14ac:dyDescent="0.25">
      <c r="B15" s="108" t="s">
        <v>74</v>
      </c>
      <c r="F15" s="202">
        <v>108060715.65926482</v>
      </c>
      <c r="G15" s="222">
        <f>+F15/$F$18</f>
        <v>292.13810276203264</v>
      </c>
      <c r="H15" s="274">
        <f>+G15/$G$14</f>
        <v>0.79959524768889667</v>
      </c>
      <c r="I15" s="117"/>
      <c r="L15" s="111"/>
      <c r="R15" s="111"/>
      <c r="S15" s="111"/>
      <c r="W15" s="115"/>
      <c r="X15" s="115"/>
      <c r="Y15" s="115"/>
      <c r="Z15" s="115"/>
      <c r="AA15" s="115"/>
      <c r="AE15" s="116"/>
    </row>
    <row r="16" spans="1:31" x14ac:dyDescent="0.25">
      <c r="B16" s="108" t="s">
        <v>75</v>
      </c>
      <c r="F16" s="202">
        <v>144868031.03034738</v>
      </c>
      <c r="G16" s="222">
        <f>+F16/$F$18</f>
        <v>391.64530308613064</v>
      </c>
      <c r="H16" s="274">
        <f>+G16/$G$14</f>
        <v>1.0719509717033966</v>
      </c>
      <c r="I16" s="117"/>
      <c r="L16" s="111"/>
      <c r="R16" s="111"/>
      <c r="S16" s="111"/>
      <c r="W16" s="115"/>
      <c r="X16" s="115"/>
      <c r="Y16" s="115"/>
      <c r="Z16" s="115"/>
      <c r="AA16" s="115"/>
      <c r="AE16" s="116"/>
    </row>
    <row r="17" spans="2:46" x14ac:dyDescent="0.25">
      <c r="B17" s="108" t="s">
        <v>102</v>
      </c>
      <c r="F17" s="118"/>
      <c r="G17" s="223">
        <v>391.65</v>
      </c>
      <c r="I17" s="118"/>
      <c r="J17" s="119"/>
      <c r="K17" s="110"/>
      <c r="L17" s="111"/>
      <c r="Q17" s="120"/>
      <c r="R17" s="111"/>
      <c r="S17" s="111"/>
      <c r="W17" s="115"/>
      <c r="X17" s="115"/>
      <c r="Y17" s="115"/>
      <c r="Z17" s="115"/>
      <c r="AA17" s="115"/>
      <c r="AE17" s="116"/>
    </row>
    <row r="18" spans="2:46" x14ac:dyDescent="0.25">
      <c r="B18" s="108" t="s">
        <v>49</v>
      </c>
      <c r="F18" s="220">
        <v>369896</v>
      </c>
      <c r="I18" s="121"/>
      <c r="J18" s="119"/>
      <c r="K18" s="110"/>
      <c r="L18" s="111"/>
      <c r="R18" s="111"/>
      <c r="S18" s="111"/>
      <c r="W18" s="115"/>
      <c r="X18" s="115"/>
      <c r="Y18" s="115"/>
      <c r="Z18" s="115"/>
      <c r="AA18" s="115"/>
      <c r="AE18" s="116"/>
    </row>
    <row r="19" spans="2:46" x14ac:dyDescent="0.25">
      <c r="B19" s="108"/>
      <c r="F19" s="111"/>
      <c r="G19" s="121"/>
      <c r="H19" s="119"/>
      <c r="I19" s="119"/>
      <c r="J19" s="110"/>
      <c r="K19" s="119"/>
      <c r="L19" s="111"/>
      <c r="R19" s="111"/>
      <c r="S19" s="111"/>
      <c r="W19" s="115"/>
      <c r="X19" s="115"/>
      <c r="Y19" s="115"/>
      <c r="Z19" s="115"/>
      <c r="AA19" s="115"/>
      <c r="AE19" s="116"/>
    </row>
    <row r="20" spans="2:46" x14ac:dyDescent="0.25">
      <c r="B20" s="122" t="s">
        <v>96</v>
      </c>
      <c r="F20" s="111"/>
      <c r="G20" s="121"/>
      <c r="H20" s="119"/>
      <c r="I20" s="119"/>
      <c r="J20" s="110"/>
      <c r="K20" s="119"/>
      <c r="L20" s="111"/>
      <c r="R20" s="111"/>
      <c r="S20" s="111"/>
      <c r="W20" s="115"/>
      <c r="X20" s="115"/>
      <c r="Y20" s="115"/>
      <c r="Z20" s="115"/>
      <c r="AA20" s="115"/>
      <c r="AE20" s="116"/>
    </row>
    <row r="21" spans="2:46" x14ac:dyDescent="0.25">
      <c r="B21" s="108"/>
      <c r="E21" s="123" t="s">
        <v>79</v>
      </c>
      <c r="F21" s="124"/>
      <c r="G21" s="125"/>
      <c r="H21" s="126"/>
      <c r="I21" s="126"/>
      <c r="J21" s="127"/>
      <c r="K21" s="128" t="s">
        <v>52</v>
      </c>
      <c r="L21" s="129">
        <f>E5</f>
        <v>43101</v>
      </c>
      <c r="M21" s="130" t="s">
        <v>20</v>
      </c>
      <c r="N21" s="130"/>
      <c r="O21" s="129">
        <f>EDATE(L21,12)-1</f>
        <v>43465</v>
      </c>
      <c r="P21" s="127"/>
      <c r="Q21" s="127"/>
      <c r="R21" s="127"/>
      <c r="S21" s="131" t="s">
        <v>53</v>
      </c>
      <c r="T21" s="127">
        <f>ROUND((AVERAGE(L21,O21)-AVERAGE(E12,G12))/(365/12),0)</f>
        <v>24</v>
      </c>
      <c r="U21" s="127" t="s">
        <v>54</v>
      </c>
      <c r="AE21" s="116"/>
    </row>
    <row r="22" spans="2:46" ht="29.25" customHeight="1" x14ac:dyDescent="0.25">
      <c r="B22" s="108"/>
      <c r="E22" s="132" t="s">
        <v>95</v>
      </c>
      <c r="F22" s="133"/>
      <c r="G22" s="134"/>
      <c r="H22" s="135"/>
      <c r="I22" s="136"/>
      <c r="J22" s="137" t="s">
        <v>55</v>
      </c>
      <c r="K22" s="138"/>
      <c r="L22" s="377" t="s">
        <v>78</v>
      </c>
      <c r="M22" s="378"/>
      <c r="N22" s="139"/>
      <c r="O22" s="132" t="s">
        <v>90</v>
      </c>
      <c r="P22" s="140"/>
      <c r="Q22" s="141"/>
      <c r="R22" s="132" t="s">
        <v>57</v>
      </c>
      <c r="S22" s="142"/>
      <c r="T22" s="142"/>
      <c r="V22" s="243"/>
      <c r="Z22" s="115"/>
      <c r="AA22" s="115"/>
      <c r="AC22" s="143"/>
      <c r="AD22" s="144"/>
      <c r="AE22" s="145"/>
    </row>
    <row r="23" spans="2:46" ht="34.5" customHeight="1" x14ac:dyDescent="0.25">
      <c r="B23" s="95"/>
      <c r="C23" s="146" t="s">
        <v>14</v>
      </c>
      <c r="E23" s="147" t="s">
        <v>19</v>
      </c>
      <c r="F23" s="147" t="s">
        <v>5</v>
      </c>
      <c r="G23" s="147" t="s">
        <v>7</v>
      </c>
      <c r="H23" s="148" t="s">
        <v>51</v>
      </c>
      <c r="I23" s="148"/>
      <c r="J23" s="149" t="s">
        <v>56</v>
      </c>
      <c r="K23" s="149" t="s">
        <v>32</v>
      </c>
      <c r="L23" s="149" t="s">
        <v>77</v>
      </c>
      <c r="M23" s="149" t="s">
        <v>76</v>
      </c>
      <c r="N23" s="149"/>
      <c r="O23" s="147" t="s">
        <v>5</v>
      </c>
      <c r="P23" s="147" t="s">
        <v>7</v>
      </c>
      <c r="Q23" s="148" t="s">
        <v>51</v>
      </c>
      <c r="R23" s="147" t="s">
        <v>5</v>
      </c>
      <c r="S23" s="147" t="s">
        <v>7</v>
      </c>
      <c r="T23" s="148" t="s">
        <v>58</v>
      </c>
      <c r="U23" s="148"/>
      <c r="Z23" s="115"/>
      <c r="AA23" s="115"/>
      <c r="AC23" s="150"/>
      <c r="AD23" s="150"/>
      <c r="AE23" s="150"/>
      <c r="AK23" s="149"/>
      <c r="AL23" s="151"/>
    </row>
    <row r="24" spans="2:46" x14ac:dyDescent="0.25">
      <c r="C24" s="95" t="s">
        <v>180</v>
      </c>
      <c r="E24" s="246" t="s">
        <v>159</v>
      </c>
      <c r="F24" s="224">
        <v>45.093753644605314</v>
      </c>
      <c r="G24" s="226">
        <v>31025.231544128699</v>
      </c>
      <c r="H24" s="229">
        <f t="shared" ref="H24:H29" si="0">F24*G24/12000</f>
        <v>116.58701233481479</v>
      </c>
      <c r="I24" s="152"/>
      <c r="J24" s="204">
        <v>1.4891760000000003</v>
      </c>
      <c r="K24" s="204">
        <v>1.1510258228310213</v>
      </c>
      <c r="L24" s="204">
        <v>1.0312783049805432</v>
      </c>
      <c r="M24" s="204">
        <v>1.0272772252328011</v>
      </c>
      <c r="N24" s="153"/>
      <c r="O24" s="227">
        <f t="shared" ref="O24:O29" si="1">F24*(M24)^($T$21/12)*J24</f>
        <v>70.865970002528854</v>
      </c>
      <c r="P24" s="229">
        <f t="shared" ref="P24:P29" si="2">G24*(L24)^($T$21/12)*K24</f>
        <v>37979.728995751451</v>
      </c>
      <c r="Q24" s="229">
        <f t="shared" ref="Q24:Q29" si="3">O24*P24/12000</f>
        <v>224.28919464309149</v>
      </c>
      <c r="R24" s="264">
        <v>0</v>
      </c>
      <c r="S24" s="232">
        <v>0</v>
      </c>
      <c r="T24" s="234">
        <f t="shared" ref="T24:T29" si="4">R24*S24/12000</f>
        <v>0</v>
      </c>
      <c r="U24" s="154"/>
      <c r="Z24" s="89"/>
      <c r="AA24" s="89"/>
      <c r="AB24" s="111"/>
      <c r="AC24" s="155"/>
      <c r="AD24" s="156"/>
      <c r="AE24" s="157"/>
      <c r="AF24" s="152"/>
      <c r="AG24" s="111"/>
      <c r="AH24" s="158"/>
      <c r="AI24" s="118"/>
      <c r="AJ24" s="158"/>
      <c r="AK24" s="152"/>
      <c r="AL24" s="152"/>
      <c r="AM24" s="152"/>
      <c r="AN24" s="159"/>
      <c r="AO24" s="160"/>
      <c r="AP24" s="118"/>
      <c r="AQ24" s="118"/>
      <c r="AR24" s="118"/>
      <c r="AS24" s="111"/>
      <c r="AT24" s="120"/>
    </row>
    <row r="25" spans="2:46" x14ac:dyDescent="0.25">
      <c r="C25" s="95" t="s">
        <v>38</v>
      </c>
      <c r="E25" s="246" t="s">
        <v>162</v>
      </c>
      <c r="F25" s="225">
        <v>970.29430054424483</v>
      </c>
      <c r="G25" s="248">
        <v>1436.2006611777113</v>
      </c>
      <c r="H25" s="227">
        <f t="shared" si="0"/>
        <v>116.12810966488411</v>
      </c>
      <c r="I25" s="118"/>
      <c r="J25" s="204">
        <v>1.4891760000000003</v>
      </c>
      <c r="K25" s="204">
        <v>1.1510258228310213</v>
      </c>
      <c r="L25" s="204">
        <v>1.0312783049805432</v>
      </c>
      <c r="M25" s="204">
        <v>1.0272772252328011</v>
      </c>
      <c r="N25" s="153"/>
      <c r="O25" s="227">
        <f t="shared" si="1"/>
        <v>1524.8419401479391</v>
      </c>
      <c r="P25" s="227">
        <f t="shared" si="2"/>
        <v>1758.1339181132096</v>
      </c>
      <c r="Q25" s="227">
        <f t="shared" si="3"/>
        <v>223.40636122797036</v>
      </c>
      <c r="R25" s="264">
        <v>0</v>
      </c>
      <c r="S25" s="370">
        <v>0</v>
      </c>
      <c r="T25" s="233">
        <f t="shared" si="4"/>
        <v>0</v>
      </c>
      <c r="U25" s="161"/>
      <c r="Z25" s="89"/>
      <c r="AA25" s="89"/>
      <c r="AB25" s="111"/>
      <c r="AC25" s="155"/>
      <c r="AD25" s="156"/>
      <c r="AE25" s="157"/>
      <c r="AF25" s="118"/>
      <c r="AG25" s="111"/>
      <c r="AH25" s="158"/>
      <c r="AI25" s="118"/>
      <c r="AJ25" s="152"/>
      <c r="AK25" s="118"/>
      <c r="AL25" s="118"/>
      <c r="AM25" s="118"/>
      <c r="AN25" s="159"/>
      <c r="AO25" s="160"/>
      <c r="AP25" s="118"/>
      <c r="AQ25" s="118"/>
      <c r="AR25" s="118"/>
      <c r="AS25" s="111"/>
      <c r="AT25" s="120"/>
    </row>
    <row r="26" spans="2:46" x14ac:dyDescent="0.25">
      <c r="C26" s="92" t="s">
        <v>0</v>
      </c>
      <c r="E26" s="246" t="s">
        <v>163</v>
      </c>
      <c r="F26" s="225">
        <v>11008.942459018617</v>
      </c>
      <c r="G26" s="248">
        <v>103.39641669536763</v>
      </c>
      <c r="H26" s="227">
        <f t="shared" si="0"/>
        <v>94.857100155667851</v>
      </c>
      <c r="I26" s="118"/>
      <c r="J26" s="204">
        <v>1.4891760000000003</v>
      </c>
      <c r="K26" s="204">
        <v>1.1510258228310213</v>
      </c>
      <c r="L26" s="204">
        <v>1.0312783049805432</v>
      </c>
      <c r="M26" s="204">
        <v>1.0272772252328011</v>
      </c>
      <c r="N26" s="153"/>
      <c r="O26" s="227">
        <f t="shared" si="1"/>
        <v>17300.830447804427</v>
      </c>
      <c r="P26" s="227">
        <f t="shared" si="2"/>
        <v>126.57336270436325</v>
      </c>
      <c r="Q26" s="227">
        <f t="shared" si="3"/>
        <v>182.48535727972009</v>
      </c>
      <c r="R26" s="264">
        <v>0</v>
      </c>
      <c r="S26" s="370">
        <v>0</v>
      </c>
      <c r="T26" s="233">
        <f t="shared" si="4"/>
        <v>0</v>
      </c>
      <c r="U26" s="161"/>
      <c r="Z26" s="89"/>
      <c r="AA26" s="89"/>
      <c r="AB26" s="111"/>
      <c r="AC26" s="155"/>
      <c r="AD26" s="156"/>
      <c r="AE26" s="157"/>
      <c r="AF26" s="118"/>
      <c r="AG26" s="111"/>
      <c r="AH26" s="158"/>
      <c r="AI26" s="118"/>
      <c r="AJ26" s="158"/>
      <c r="AK26" s="118"/>
      <c r="AL26" s="118"/>
      <c r="AM26" s="118"/>
      <c r="AN26" s="159"/>
      <c r="AO26" s="159"/>
      <c r="AP26" s="118"/>
      <c r="AQ26" s="118"/>
      <c r="AR26" s="118"/>
      <c r="AS26" s="111"/>
      <c r="AT26" s="120"/>
    </row>
    <row r="27" spans="2:46" x14ac:dyDescent="0.25">
      <c r="C27" s="95" t="s">
        <v>37</v>
      </c>
      <c r="E27" s="246" t="s">
        <v>163</v>
      </c>
      <c r="F27" s="225">
        <v>445.06561600743902</v>
      </c>
      <c r="G27" s="248">
        <v>165.82942556793466</v>
      </c>
      <c r="H27" s="227">
        <f t="shared" si="0"/>
        <v>6.1504146202127172</v>
      </c>
      <c r="I27" s="118"/>
      <c r="J27" s="204">
        <v>1.4891760000000003</v>
      </c>
      <c r="K27" s="204">
        <v>1.1510258228310213</v>
      </c>
      <c r="L27" s="204">
        <v>1.0312783049805432</v>
      </c>
      <c r="M27" s="204">
        <v>1.0272772252328011</v>
      </c>
      <c r="N27" s="153"/>
      <c r="O27" s="227">
        <f t="shared" si="1"/>
        <v>699.43182911128997</v>
      </c>
      <c r="P27" s="227">
        <f t="shared" si="2"/>
        <v>203.00111648266412</v>
      </c>
      <c r="Q27" s="227">
        <f t="shared" si="3"/>
        <v>11.832120184425316</v>
      </c>
      <c r="R27" s="264">
        <v>0</v>
      </c>
      <c r="S27" s="370">
        <v>0</v>
      </c>
      <c r="T27" s="233">
        <f t="shared" si="4"/>
        <v>0</v>
      </c>
      <c r="U27" s="161"/>
      <c r="V27" s="244"/>
      <c r="Z27" s="89"/>
      <c r="AA27" s="89"/>
      <c r="AB27" s="111"/>
      <c r="AC27" s="155"/>
      <c r="AD27" s="156"/>
      <c r="AE27" s="157"/>
      <c r="AF27" s="118"/>
      <c r="AG27" s="111"/>
      <c r="AH27" s="158"/>
      <c r="AI27" s="118"/>
      <c r="AJ27" s="152"/>
      <c r="AK27" s="118"/>
      <c r="AL27" s="118"/>
      <c r="AM27" s="118"/>
      <c r="AN27" s="159"/>
      <c r="AO27" s="160"/>
      <c r="AP27" s="118"/>
      <c r="AQ27" s="118"/>
      <c r="AR27" s="118"/>
      <c r="AS27" s="111"/>
      <c r="AT27" s="120"/>
    </row>
    <row r="28" spans="2:46" x14ac:dyDescent="0.25">
      <c r="C28" s="92" t="s">
        <v>1</v>
      </c>
      <c r="E28" s="246" t="s">
        <v>161</v>
      </c>
      <c r="F28" s="225">
        <v>12000</v>
      </c>
      <c r="G28" s="248">
        <v>1.3651810779246007</v>
      </c>
      <c r="H28" s="227">
        <f t="shared" si="0"/>
        <v>1.3651810779246007</v>
      </c>
      <c r="I28" s="118"/>
      <c r="J28" s="204">
        <v>1.4891760000000003</v>
      </c>
      <c r="K28" s="204">
        <v>1.1510258228310213</v>
      </c>
      <c r="L28" s="204">
        <v>1.0002699369355414</v>
      </c>
      <c r="M28" s="204">
        <v>1.0002699369355414</v>
      </c>
      <c r="N28" s="153"/>
      <c r="O28" s="227">
        <f t="shared" si="1"/>
        <v>17879.760908664801</v>
      </c>
      <c r="P28" s="227">
        <f t="shared" si="2"/>
        <v>1.5722071235199848</v>
      </c>
      <c r="Q28" s="227">
        <f t="shared" si="3"/>
        <v>2.3425572889530799</v>
      </c>
      <c r="R28" s="264">
        <v>0</v>
      </c>
      <c r="S28" s="370">
        <v>0</v>
      </c>
      <c r="T28" s="233">
        <f t="shared" si="4"/>
        <v>0</v>
      </c>
      <c r="U28" s="161"/>
      <c r="Z28" s="89"/>
      <c r="AA28" s="89"/>
      <c r="AB28" s="111"/>
      <c r="AC28" s="155"/>
      <c r="AD28" s="156"/>
      <c r="AE28" s="157"/>
      <c r="AF28" s="118"/>
      <c r="AG28" s="111"/>
      <c r="AH28" s="158"/>
      <c r="AI28" s="118"/>
      <c r="AJ28" s="152"/>
      <c r="AK28" s="118"/>
      <c r="AL28" s="118"/>
      <c r="AM28" s="118"/>
      <c r="AN28" s="159"/>
      <c r="AO28" s="159"/>
      <c r="AP28" s="118"/>
      <c r="AQ28" s="118"/>
      <c r="AR28" s="118"/>
      <c r="AS28" s="111"/>
      <c r="AT28" s="120"/>
    </row>
    <row r="29" spans="2:46" ht="17.25" x14ac:dyDescent="0.4">
      <c r="C29" s="92" t="s">
        <v>41</v>
      </c>
      <c r="E29" s="246" t="s">
        <v>164</v>
      </c>
      <c r="F29" s="225">
        <v>5321.192696260965</v>
      </c>
      <c r="G29" s="248">
        <v>127.5446805879466</v>
      </c>
      <c r="H29" s="228">
        <f t="shared" si="0"/>
        <v>56.55748523262659</v>
      </c>
      <c r="I29" s="162"/>
      <c r="J29" s="204">
        <v>1.4891760000000003</v>
      </c>
      <c r="K29" s="204">
        <v>1.1510258228310213</v>
      </c>
      <c r="L29" s="204">
        <v>1.1042980103768378</v>
      </c>
      <c r="M29" s="204">
        <v>1.0012702068724768</v>
      </c>
      <c r="N29" s="153"/>
      <c r="O29" s="227">
        <f t="shared" si="1"/>
        <v>7944.3359671707285</v>
      </c>
      <c r="P29" s="227">
        <f t="shared" si="2"/>
        <v>179.0276029786942</v>
      </c>
      <c r="Q29" s="228">
        <f t="shared" si="3"/>
        <v>118.52128545500015</v>
      </c>
      <c r="R29" s="264">
        <v>0</v>
      </c>
      <c r="S29" s="370">
        <v>0</v>
      </c>
      <c r="T29" s="228">
        <f t="shared" si="4"/>
        <v>0</v>
      </c>
      <c r="U29" s="162"/>
      <c r="Z29" s="89"/>
      <c r="AA29" s="89"/>
      <c r="AB29" s="111"/>
      <c r="AC29" s="155"/>
      <c r="AD29" s="156"/>
      <c r="AE29" s="157"/>
      <c r="AF29" s="118"/>
      <c r="AG29" s="111"/>
      <c r="AH29" s="158"/>
      <c r="AI29" s="118"/>
      <c r="AJ29" s="152"/>
      <c r="AK29" s="162"/>
      <c r="AL29" s="118"/>
      <c r="AM29" s="162"/>
      <c r="AN29" s="159"/>
      <c r="AO29" s="159"/>
      <c r="AP29" s="118"/>
      <c r="AQ29" s="118"/>
      <c r="AR29" s="118"/>
      <c r="AS29" s="111"/>
      <c r="AT29" s="120"/>
    </row>
    <row r="30" spans="2:46" x14ac:dyDescent="0.25">
      <c r="C30" s="92" t="s">
        <v>3</v>
      </c>
      <c r="F30" s="116"/>
      <c r="H30" s="230">
        <f>SUM(H24:H29)</f>
        <v>391.64530308613064</v>
      </c>
      <c r="I30" s="152"/>
      <c r="L30" s="152"/>
      <c r="O30" s="160"/>
      <c r="P30" s="231"/>
      <c r="Q30" s="229">
        <f>SUM(Q24:Q29)</f>
        <v>762.87687607916052</v>
      </c>
      <c r="R30" s="159"/>
      <c r="S30" s="89"/>
      <c r="T30" s="229">
        <f>SUM(T24:T29)</f>
        <v>0</v>
      </c>
      <c r="Z30" s="115"/>
      <c r="AA30" s="115"/>
      <c r="AB30" s="111"/>
      <c r="AC30" s="104"/>
      <c r="AD30" s="104"/>
      <c r="AE30" s="104"/>
      <c r="AF30" s="118"/>
      <c r="AG30" s="111"/>
      <c r="AH30" s="111"/>
      <c r="AI30" s="121"/>
      <c r="AJ30" s="163"/>
      <c r="AK30" s="152"/>
      <c r="AL30" s="111"/>
      <c r="AM30" s="152"/>
      <c r="AN30" s="118"/>
      <c r="AO30" s="118"/>
      <c r="AP30" s="111"/>
      <c r="AQ30" s="111"/>
      <c r="AR30" s="152"/>
      <c r="AS30" s="111"/>
    </row>
    <row r="31" spans="2:46" ht="17.25" x14ac:dyDescent="0.4">
      <c r="F31" s="116"/>
      <c r="H31" s="161"/>
      <c r="I31" s="161"/>
      <c r="R31" s="160"/>
      <c r="S31" s="160"/>
      <c r="V31" s="245" t="s">
        <v>59</v>
      </c>
      <c r="W31" s="164"/>
      <c r="X31" s="165" t="s">
        <v>80</v>
      </c>
      <c r="AB31" s="111"/>
      <c r="AC31" s="111"/>
      <c r="AD31" s="111"/>
      <c r="AE31" s="89"/>
      <c r="AF31" s="118"/>
      <c r="AG31" s="111"/>
      <c r="AH31" s="158"/>
      <c r="AI31" s="118"/>
      <c r="AJ31" s="158"/>
    </row>
    <row r="32" spans="2:46" x14ac:dyDescent="0.25">
      <c r="B32" s="166" t="s">
        <v>97</v>
      </c>
      <c r="C32" s="166"/>
      <c r="H32" s="92" t="s">
        <v>195</v>
      </c>
      <c r="P32" s="161"/>
      <c r="Q32" s="265">
        <v>1</v>
      </c>
      <c r="T32" s="275">
        <f>1-Q32</f>
        <v>0</v>
      </c>
      <c r="V32" s="229">
        <f>Q30*Q32+(1-Q32)*T30</f>
        <v>762.87687607916052</v>
      </c>
      <c r="X32" s="117">
        <f>+$X$47*V32</f>
        <v>384488419.79014474</v>
      </c>
      <c r="Z32" s="160"/>
      <c r="AA32" s="160"/>
      <c r="AB32" s="111"/>
      <c r="AC32" s="111"/>
      <c r="AD32" s="111"/>
      <c r="AE32" s="89"/>
      <c r="AF32" s="118"/>
      <c r="AG32" s="111"/>
      <c r="AH32" s="158"/>
      <c r="AI32" s="118"/>
      <c r="AJ32" s="158"/>
    </row>
    <row r="33" spans="6:36" ht="17.25" x14ac:dyDescent="0.4">
      <c r="J33" s="92" t="s">
        <v>39</v>
      </c>
      <c r="V33" s="263">
        <v>0.75290000000000001</v>
      </c>
      <c r="W33" s="168"/>
      <c r="AB33" s="111"/>
      <c r="AC33" s="111"/>
      <c r="AD33" s="111"/>
      <c r="AE33" s="89"/>
      <c r="AF33" s="118"/>
      <c r="AG33" s="111"/>
      <c r="AH33" s="158"/>
      <c r="AI33" s="118"/>
      <c r="AJ33" s="158"/>
    </row>
    <row r="34" spans="6:36" x14ac:dyDescent="0.25">
      <c r="J34" s="92" t="s">
        <v>61</v>
      </c>
      <c r="P34" s="161"/>
      <c r="S34" s="169"/>
      <c r="V34" s="229">
        <f>+V32*V33</f>
        <v>574.37</v>
      </c>
      <c r="W34" s="160"/>
      <c r="X34" s="117">
        <f>+$X$47*V34</f>
        <v>289481331.25999999</v>
      </c>
      <c r="AB34" s="111"/>
      <c r="AC34" s="111"/>
      <c r="AD34" s="111"/>
      <c r="AE34" s="89"/>
      <c r="AF34" s="118"/>
      <c r="AG34" s="111"/>
      <c r="AH34" s="158"/>
      <c r="AI34" s="118"/>
      <c r="AJ34" s="158"/>
    </row>
    <row r="35" spans="6:36" ht="17.25" x14ac:dyDescent="0.4">
      <c r="J35" s="92" t="s">
        <v>98</v>
      </c>
      <c r="P35" s="161"/>
      <c r="V35" s="365">
        <v>12.89</v>
      </c>
      <c r="W35" s="160"/>
      <c r="X35" s="235">
        <f>+$X$47*V35</f>
        <v>6496534.2200000007</v>
      </c>
      <c r="AB35" s="111"/>
      <c r="AC35" s="111"/>
      <c r="AD35" s="111"/>
      <c r="AE35" s="89"/>
      <c r="AF35" s="118"/>
      <c r="AG35" s="111"/>
      <c r="AH35" s="158"/>
      <c r="AI35" s="118"/>
      <c r="AJ35" s="158"/>
    </row>
    <row r="36" spans="6:36" x14ac:dyDescent="0.25">
      <c r="J36" s="92" t="s">
        <v>73</v>
      </c>
      <c r="P36" s="161"/>
      <c r="V36" s="239">
        <f>+V34-V35</f>
        <v>561.48</v>
      </c>
      <c r="W36" s="160"/>
      <c r="X36" s="117">
        <f>+$X$47*V36</f>
        <v>282984797.04000002</v>
      </c>
      <c r="AB36" s="111"/>
      <c r="AC36" s="111"/>
      <c r="AD36" s="111"/>
      <c r="AE36" s="89"/>
      <c r="AF36" s="118"/>
      <c r="AG36" s="111"/>
      <c r="AH36" s="158"/>
      <c r="AI36" s="118"/>
      <c r="AJ36" s="158"/>
    </row>
    <row r="37" spans="6:36" ht="17.25" x14ac:dyDescent="0.4">
      <c r="J37" s="92" t="s">
        <v>60</v>
      </c>
      <c r="P37" s="161"/>
      <c r="V37" s="366">
        <v>0</v>
      </c>
      <c r="W37" s="160"/>
      <c r="X37" s="364">
        <f>+$X$47*V37</f>
        <v>0</v>
      </c>
      <c r="AB37" s="111"/>
      <c r="AC37" s="111"/>
      <c r="AD37" s="111"/>
      <c r="AE37" s="89"/>
      <c r="AF37" s="118"/>
      <c r="AG37" s="111"/>
      <c r="AH37" s="158"/>
      <c r="AI37" s="118"/>
      <c r="AJ37" s="158"/>
    </row>
    <row r="38" spans="6:36" x14ac:dyDescent="0.25">
      <c r="H38" s="92" t="s">
        <v>62</v>
      </c>
      <c r="V38" s="238">
        <f>+V34-V35-V37</f>
        <v>561.48</v>
      </c>
      <c r="W38" s="160"/>
      <c r="X38" s="117">
        <f>+$X$47*V38</f>
        <v>282984797.04000002</v>
      </c>
      <c r="AB38" s="111"/>
      <c r="AC38" s="111"/>
      <c r="AD38" s="111"/>
      <c r="AE38" s="89"/>
      <c r="AF38" s="118"/>
      <c r="AG38" s="111"/>
      <c r="AH38" s="158"/>
      <c r="AI38" s="118"/>
      <c r="AJ38" s="158"/>
    </row>
    <row r="39" spans="6:36" ht="6.75" customHeight="1" x14ac:dyDescent="0.25">
      <c r="W39" s="160"/>
      <c r="X39" s="167"/>
      <c r="AB39" s="111"/>
      <c r="AC39" s="111"/>
      <c r="AD39" s="111"/>
      <c r="AE39" s="89"/>
      <c r="AF39" s="118"/>
      <c r="AG39" s="111"/>
      <c r="AH39" s="158"/>
      <c r="AI39" s="118"/>
      <c r="AJ39" s="158"/>
    </row>
    <row r="40" spans="6:36" x14ac:dyDescent="0.25">
      <c r="H40" s="92" t="s">
        <v>22</v>
      </c>
      <c r="T40" s="265">
        <v>7.0525364008595853E-2</v>
      </c>
      <c r="V40" s="240">
        <f>+T40*$V$43</f>
        <v>47.665810747735335</v>
      </c>
      <c r="W40" s="160"/>
      <c r="X40" s="236">
        <f>+$X$47*V40</f>
        <v>24023473.285237115</v>
      </c>
      <c r="AB40" s="111"/>
      <c r="AC40" s="111"/>
      <c r="AD40" s="111"/>
      <c r="AE40" s="89"/>
      <c r="AF40" s="118"/>
      <c r="AG40" s="111"/>
      <c r="AH40" s="158"/>
      <c r="AI40" s="118"/>
      <c r="AJ40" s="158"/>
    </row>
    <row r="41" spans="6:36" x14ac:dyDescent="0.25">
      <c r="H41" s="92" t="s">
        <v>23</v>
      </c>
      <c r="T41" s="265">
        <v>2.7199124886543108E-2</v>
      </c>
      <c r="V41" s="241">
        <f>+T41*$V$43</f>
        <v>18.383008121559847</v>
      </c>
      <c r="W41" s="160"/>
      <c r="X41" s="237">
        <f>+$X$47*V41</f>
        <v>9264999.32724992</v>
      </c>
      <c r="AB41" s="111"/>
      <c r="AC41" s="111"/>
      <c r="AD41" s="111"/>
      <c r="AE41" s="89"/>
      <c r="AF41" s="118"/>
      <c r="AG41" s="111"/>
      <c r="AH41" s="158"/>
      <c r="AI41" s="118"/>
      <c r="AJ41" s="158"/>
    </row>
    <row r="42" spans="6:36" ht="17.25" x14ac:dyDescent="0.4">
      <c r="H42" s="92" t="s">
        <v>103</v>
      </c>
      <c r="T42" s="265">
        <v>7.1521124210733242E-2</v>
      </c>
      <c r="V42" s="242">
        <f>+T42*$V$43</f>
        <v>48.338812837301617</v>
      </c>
      <c r="W42" s="160"/>
      <c r="X42" s="235">
        <f>+$X$47*V42</f>
        <v>24362664.992374342</v>
      </c>
      <c r="AB42" s="111"/>
      <c r="AC42" s="111"/>
      <c r="AD42" s="111"/>
      <c r="AE42" s="89"/>
      <c r="AF42" s="118"/>
      <c r="AG42" s="111"/>
      <c r="AH42" s="158"/>
      <c r="AI42" s="118"/>
      <c r="AJ42" s="158"/>
    </row>
    <row r="43" spans="6:36" x14ac:dyDescent="0.25">
      <c r="H43" s="92" t="s">
        <v>63</v>
      </c>
      <c r="P43" s="161"/>
      <c r="V43" s="234">
        <f>($V$38/(1-T40-T41-T42))</f>
        <v>675.86763170659674</v>
      </c>
      <c r="W43" s="160"/>
      <c r="X43" s="117">
        <f>+$X$47*V43</f>
        <v>340635934.64486134</v>
      </c>
      <c r="AB43" s="111"/>
      <c r="AC43" s="111"/>
      <c r="AD43" s="111"/>
      <c r="AE43" s="89"/>
      <c r="AF43" s="118"/>
      <c r="AG43" s="111"/>
      <c r="AH43" s="158"/>
      <c r="AI43" s="118"/>
      <c r="AJ43" s="158"/>
    </row>
    <row r="44" spans="6:36" x14ac:dyDescent="0.25">
      <c r="H44" s="92" t="s">
        <v>104</v>
      </c>
      <c r="P44" s="161"/>
      <c r="V44" s="226">
        <v>762.88</v>
      </c>
      <c r="W44" s="160"/>
      <c r="X44" s="167"/>
      <c r="AA44" s="170"/>
      <c r="AB44" s="111"/>
      <c r="AC44" s="111"/>
      <c r="AD44" s="111"/>
      <c r="AE44" s="89"/>
      <c r="AF44" s="118"/>
      <c r="AG44" s="111"/>
      <c r="AH44" s="158"/>
      <c r="AI44" s="118"/>
      <c r="AJ44" s="158"/>
    </row>
    <row r="45" spans="6:36" x14ac:dyDescent="0.25">
      <c r="J45" s="92" t="s">
        <v>64</v>
      </c>
      <c r="P45" s="161"/>
      <c r="V45" s="273">
        <f>((V43-G14)/G14)</f>
        <v>0.84988038626223072</v>
      </c>
      <c r="W45" s="160"/>
      <c r="X45" s="160"/>
      <c r="AB45" s="111"/>
      <c r="AC45" s="111"/>
      <c r="AD45" s="111"/>
      <c r="AE45" s="89"/>
      <c r="AF45" s="118"/>
      <c r="AG45" s="111"/>
      <c r="AH45" s="158"/>
      <c r="AI45" s="118"/>
      <c r="AJ45" s="158"/>
    </row>
    <row r="46" spans="6:36" x14ac:dyDescent="0.25">
      <c r="J46" s="92" t="s">
        <v>65</v>
      </c>
      <c r="P46" s="161"/>
      <c r="V46" s="273">
        <f>(1+V45)^(1/(T21/12))-1</f>
        <v>0.36010307927826957</v>
      </c>
      <c r="W46" s="160"/>
      <c r="X46" s="160"/>
      <c r="AB46" s="111"/>
      <c r="AC46" s="111"/>
      <c r="AD46" s="111"/>
      <c r="AE46" s="89"/>
      <c r="AF46" s="118"/>
      <c r="AG46" s="111"/>
      <c r="AH46" s="158"/>
      <c r="AI46" s="118"/>
      <c r="AJ46" s="158"/>
    </row>
    <row r="47" spans="6:36" x14ac:dyDescent="0.25">
      <c r="H47" s="171" t="s">
        <v>6</v>
      </c>
      <c r="I47" s="171"/>
      <c r="V47" s="161"/>
      <c r="W47" s="160"/>
      <c r="X47" s="203">
        <v>503998</v>
      </c>
      <c r="AB47" s="111"/>
      <c r="AC47" s="111"/>
      <c r="AD47" s="111"/>
      <c r="AE47" s="89"/>
      <c r="AF47" s="118"/>
      <c r="AG47" s="111"/>
      <c r="AH47" s="158"/>
      <c r="AI47" s="118"/>
      <c r="AJ47" s="158"/>
    </row>
    <row r="48" spans="6:36" x14ac:dyDescent="0.25">
      <c r="F48" s="116"/>
      <c r="H48" s="161"/>
      <c r="I48" s="161"/>
      <c r="Q48" s="161"/>
      <c r="R48" s="160"/>
      <c r="S48" s="160"/>
      <c r="AB48" s="111"/>
      <c r="AC48" s="111"/>
      <c r="AD48" s="111"/>
      <c r="AE48" s="89"/>
      <c r="AF48" s="118"/>
      <c r="AG48" s="111"/>
      <c r="AH48" s="158"/>
      <c r="AI48" s="118"/>
      <c r="AJ48" s="158"/>
    </row>
    <row r="49" spans="2:22" ht="48.75" customHeight="1" x14ac:dyDescent="0.25">
      <c r="B49" s="376" t="s">
        <v>21</v>
      </c>
      <c r="C49" s="376"/>
      <c r="D49" s="376"/>
      <c r="E49" s="376"/>
      <c r="F49" s="376"/>
      <c r="G49" s="376"/>
      <c r="H49" s="376"/>
      <c r="I49" s="376"/>
      <c r="J49" s="376"/>
      <c r="K49" s="376"/>
      <c r="L49" s="376"/>
      <c r="M49" s="376"/>
      <c r="N49" s="376"/>
      <c r="O49" s="376"/>
      <c r="P49" s="376"/>
      <c r="Q49" s="376"/>
      <c r="R49" s="95"/>
      <c r="S49" s="95"/>
    </row>
    <row r="50" spans="2:22" x14ac:dyDescent="0.25">
      <c r="F50" s="172"/>
      <c r="G50" s="89"/>
      <c r="H50" s="89"/>
      <c r="I50" s="89"/>
      <c r="J50" s="95"/>
      <c r="M50" s="105"/>
      <c r="N50" s="105"/>
      <c r="O50" s="104"/>
      <c r="P50" s="104"/>
      <c r="Q50" s="104"/>
      <c r="R50" s="95"/>
      <c r="S50" s="95"/>
    </row>
    <row r="51" spans="2:22" x14ac:dyDescent="0.25">
      <c r="J51" s="95"/>
      <c r="M51" s="105"/>
      <c r="N51" s="105"/>
      <c r="O51" s="104"/>
      <c r="P51" s="104"/>
      <c r="Q51" s="104"/>
      <c r="R51" s="95"/>
      <c r="S51" s="95"/>
    </row>
    <row r="52" spans="2:22" x14ac:dyDescent="0.25">
      <c r="J52" s="95"/>
      <c r="M52" s="105"/>
      <c r="N52" s="105"/>
      <c r="O52" s="104"/>
      <c r="P52" s="104"/>
      <c r="Q52" s="104"/>
      <c r="R52" s="95"/>
      <c r="S52" s="95"/>
    </row>
    <row r="53" spans="2:22" x14ac:dyDescent="0.25">
      <c r="B53" s="95"/>
      <c r="G53" s="154"/>
      <c r="H53" s="95"/>
      <c r="I53" s="95"/>
      <c r="J53" s="95"/>
      <c r="M53" s="105"/>
      <c r="N53" s="105"/>
      <c r="O53" s="104"/>
      <c r="P53" s="104"/>
      <c r="Q53" s="104"/>
      <c r="R53" s="95"/>
      <c r="S53" s="95"/>
    </row>
    <row r="54" spans="2:22" x14ac:dyDescent="0.25">
      <c r="B54" s="95"/>
      <c r="G54" s="154"/>
      <c r="H54" s="95"/>
      <c r="I54" s="95"/>
      <c r="J54" s="95"/>
      <c r="M54" s="105"/>
      <c r="N54" s="105"/>
      <c r="O54" s="104"/>
      <c r="P54" s="104"/>
      <c r="Q54" s="104"/>
      <c r="R54" s="95"/>
      <c r="S54" s="95"/>
    </row>
    <row r="55" spans="2:22" x14ac:dyDescent="0.25">
      <c r="B55" s="173"/>
      <c r="C55" s="111"/>
      <c r="D55" s="111"/>
      <c r="E55" s="111"/>
      <c r="F55" s="111"/>
      <c r="G55" s="174"/>
      <c r="H55" s="119"/>
      <c r="I55" s="119"/>
      <c r="J55" s="119"/>
      <c r="K55" s="111"/>
      <c r="L55" s="111"/>
      <c r="M55" s="175"/>
      <c r="N55" s="175"/>
      <c r="O55" s="111"/>
      <c r="P55" s="111"/>
    </row>
    <row r="56" spans="2:22" x14ac:dyDescent="0.25">
      <c r="B56" s="111"/>
      <c r="C56" s="111"/>
      <c r="D56" s="111"/>
      <c r="E56" s="111"/>
      <c r="F56" s="111"/>
      <c r="G56" s="174"/>
      <c r="H56" s="119"/>
      <c r="I56" s="119"/>
      <c r="J56" s="119"/>
      <c r="K56" s="111"/>
      <c r="L56" s="111"/>
      <c r="M56" s="175"/>
      <c r="N56" s="175"/>
      <c r="O56" s="111"/>
      <c r="P56" s="111"/>
    </row>
    <row r="57" spans="2:22" x14ac:dyDescent="0.25">
      <c r="B57" s="176"/>
      <c r="C57" s="111"/>
      <c r="D57" s="111"/>
      <c r="E57" s="111"/>
      <c r="F57" s="111"/>
      <c r="G57" s="169"/>
      <c r="H57" s="119"/>
      <c r="I57" s="119"/>
      <c r="J57" s="111"/>
      <c r="K57" s="111"/>
      <c r="L57" s="111"/>
      <c r="M57" s="175"/>
      <c r="N57" s="175"/>
      <c r="O57" s="111"/>
      <c r="P57" s="111"/>
    </row>
    <row r="58" spans="2:22" x14ac:dyDescent="0.25">
      <c r="B58" s="111"/>
      <c r="C58" s="111"/>
      <c r="D58" s="111"/>
      <c r="E58" s="111"/>
      <c r="F58" s="111"/>
      <c r="G58" s="152"/>
      <c r="H58" s="119"/>
      <c r="I58" s="119"/>
      <c r="J58" s="111"/>
      <c r="K58" s="111"/>
      <c r="L58" s="111"/>
      <c r="M58" s="175"/>
      <c r="N58" s="175"/>
      <c r="O58" s="111"/>
      <c r="P58" s="111"/>
    </row>
    <row r="59" spans="2:22" x14ac:dyDescent="0.25">
      <c r="B59" s="119"/>
      <c r="C59" s="111"/>
      <c r="D59" s="111"/>
      <c r="E59" s="111"/>
      <c r="F59" s="111"/>
      <c r="G59" s="152"/>
      <c r="H59" s="119"/>
      <c r="I59" s="119"/>
      <c r="J59" s="111"/>
      <c r="K59" s="111"/>
      <c r="L59" s="111"/>
      <c r="M59" s="175"/>
      <c r="N59" s="175"/>
      <c r="O59" s="111"/>
      <c r="P59" s="111"/>
    </row>
    <row r="60" spans="2:22" x14ac:dyDescent="0.25">
      <c r="B60" s="115"/>
      <c r="C60" s="115"/>
      <c r="D60" s="115"/>
      <c r="E60" s="115"/>
      <c r="F60" s="177"/>
      <c r="G60" s="115"/>
      <c r="H60" s="115"/>
      <c r="I60" s="115"/>
      <c r="J60" s="115"/>
      <c r="K60" s="115"/>
      <c r="L60" s="115"/>
      <c r="M60" s="115"/>
      <c r="N60" s="115"/>
      <c r="O60" s="115"/>
      <c r="P60" s="115"/>
      <c r="Q60" s="115"/>
      <c r="R60" s="115"/>
      <c r="S60" s="115"/>
      <c r="T60" s="115"/>
      <c r="U60" s="115"/>
      <c r="V60" s="115"/>
    </row>
    <row r="61" spans="2:22" x14ac:dyDescent="0.25">
      <c r="B61" s="178"/>
      <c r="C61" s="115"/>
      <c r="D61" s="115"/>
      <c r="E61" s="115"/>
      <c r="F61" s="177"/>
      <c r="G61" s="115"/>
      <c r="H61" s="115"/>
      <c r="I61" s="115"/>
      <c r="J61" s="115"/>
      <c r="K61" s="115"/>
      <c r="L61" s="115"/>
      <c r="M61" s="115"/>
      <c r="N61" s="115"/>
      <c r="O61" s="115"/>
      <c r="P61" s="115"/>
      <c r="Q61" s="115"/>
      <c r="R61" s="115"/>
      <c r="S61" s="115"/>
      <c r="T61" s="115"/>
      <c r="U61" s="115"/>
      <c r="V61" s="115"/>
    </row>
    <row r="62" spans="2:22" x14ac:dyDescent="0.25">
      <c r="B62" s="115"/>
      <c r="C62" s="115"/>
      <c r="D62" s="115"/>
      <c r="E62" s="115"/>
      <c r="F62" s="177"/>
      <c r="G62" s="115"/>
      <c r="H62" s="115"/>
      <c r="I62" s="115"/>
      <c r="J62" s="115"/>
      <c r="K62" s="115"/>
      <c r="L62" s="115"/>
      <c r="M62" s="115"/>
      <c r="N62" s="115"/>
      <c r="O62" s="115"/>
      <c r="P62" s="115"/>
      <c r="Q62" s="115"/>
      <c r="R62" s="115"/>
      <c r="S62" s="115"/>
      <c r="T62" s="115"/>
      <c r="U62" s="115"/>
      <c r="V62" s="115"/>
    </row>
    <row r="63" spans="2:22" x14ac:dyDescent="0.25">
      <c r="B63" s="115"/>
      <c r="C63" s="115"/>
      <c r="D63" s="115"/>
      <c r="E63" s="115"/>
      <c r="F63" s="177"/>
      <c r="G63" s="115"/>
      <c r="H63" s="115"/>
      <c r="I63" s="115"/>
      <c r="J63" s="115"/>
      <c r="K63" s="115"/>
      <c r="L63" s="115"/>
      <c r="M63" s="115"/>
      <c r="N63" s="115"/>
      <c r="O63" s="115"/>
      <c r="P63" s="115"/>
      <c r="Q63" s="115"/>
      <c r="R63" s="115"/>
      <c r="S63" s="115"/>
      <c r="T63" s="115"/>
      <c r="U63" s="115"/>
      <c r="V63" s="115"/>
    </row>
    <row r="64" spans="2:22" x14ac:dyDescent="0.25">
      <c r="B64" s="115"/>
      <c r="C64" s="115"/>
      <c r="D64" s="115"/>
      <c r="E64" s="115"/>
      <c r="F64" s="179"/>
      <c r="G64" s="179"/>
      <c r="H64" s="179"/>
      <c r="I64" s="179"/>
      <c r="J64" s="179"/>
      <c r="K64" s="179"/>
      <c r="L64" s="179"/>
      <c r="M64" s="179"/>
      <c r="N64" s="179"/>
      <c r="O64" s="179"/>
      <c r="P64" s="179"/>
      <c r="Q64" s="179"/>
      <c r="R64" s="115"/>
      <c r="S64" s="115"/>
      <c r="T64" s="115"/>
      <c r="U64" s="115"/>
      <c r="V64" s="115"/>
    </row>
    <row r="65" spans="1:22" x14ac:dyDescent="0.25">
      <c r="A65" s="108"/>
      <c r="B65" s="115"/>
      <c r="C65" s="115"/>
      <c r="D65" s="115"/>
      <c r="E65" s="115"/>
      <c r="F65" s="180"/>
      <c r="G65" s="180"/>
      <c r="H65" s="180"/>
      <c r="I65" s="180"/>
      <c r="J65" s="180"/>
      <c r="K65" s="180"/>
      <c r="L65" s="180"/>
      <c r="M65" s="180"/>
      <c r="N65" s="180"/>
      <c r="O65" s="180"/>
      <c r="P65" s="180"/>
      <c r="Q65" s="180"/>
      <c r="R65" s="115"/>
      <c r="S65" s="115"/>
      <c r="T65" s="115"/>
      <c r="U65" s="115"/>
      <c r="V65" s="115"/>
    </row>
    <row r="66" spans="1:22" x14ac:dyDescent="0.25">
      <c r="A66" s="108"/>
      <c r="B66" s="115"/>
      <c r="C66" s="115"/>
      <c r="D66" s="115"/>
      <c r="E66" s="115"/>
      <c r="F66" s="180"/>
      <c r="G66" s="180"/>
      <c r="H66" s="180"/>
      <c r="I66" s="180"/>
      <c r="J66" s="180"/>
      <c r="K66" s="180"/>
      <c r="L66" s="180"/>
      <c r="M66" s="180"/>
      <c r="N66" s="180"/>
      <c r="O66" s="180"/>
      <c r="P66" s="180"/>
      <c r="Q66" s="180"/>
      <c r="R66" s="115"/>
      <c r="S66" s="115"/>
      <c r="T66" s="115"/>
      <c r="U66" s="115"/>
      <c r="V66" s="115"/>
    </row>
    <row r="67" spans="1:22" x14ac:dyDescent="0.25">
      <c r="A67" s="108"/>
      <c r="B67" s="115"/>
      <c r="C67" s="115"/>
      <c r="D67" s="115"/>
      <c r="E67" s="115"/>
      <c r="F67" s="180"/>
      <c r="G67" s="180"/>
      <c r="H67" s="180"/>
      <c r="I67" s="180"/>
      <c r="J67" s="180"/>
      <c r="K67" s="180"/>
      <c r="L67" s="180"/>
      <c r="M67" s="180"/>
      <c r="N67" s="180"/>
      <c r="O67" s="180"/>
      <c r="P67" s="180"/>
      <c r="Q67" s="180"/>
      <c r="R67" s="115"/>
      <c r="S67" s="115"/>
      <c r="T67" s="115"/>
      <c r="U67" s="115"/>
      <c r="V67" s="115"/>
    </row>
    <row r="68" spans="1:22" x14ac:dyDescent="0.25">
      <c r="A68" s="108"/>
      <c r="B68" s="115"/>
      <c r="C68" s="115"/>
      <c r="D68" s="115"/>
      <c r="E68" s="115"/>
      <c r="F68" s="181"/>
      <c r="G68" s="181"/>
      <c r="H68" s="181"/>
      <c r="I68" s="181"/>
      <c r="J68" s="181"/>
      <c r="K68" s="181"/>
      <c r="L68" s="181"/>
      <c r="M68" s="181"/>
      <c r="N68" s="181"/>
      <c r="O68" s="181"/>
      <c r="P68" s="181"/>
      <c r="Q68" s="181"/>
      <c r="R68" s="115"/>
      <c r="S68" s="115"/>
      <c r="T68" s="115"/>
      <c r="U68" s="115"/>
      <c r="V68" s="115"/>
    </row>
    <row r="69" spans="1:22" x14ac:dyDescent="0.25">
      <c r="A69" s="108"/>
      <c r="B69" s="182"/>
      <c r="C69" s="115"/>
      <c r="D69" s="115"/>
      <c r="E69" s="115"/>
      <c r="F69" s="115"/>
      <c r="G69" s="115"/>
      <c r="H69" s="115"/>
      <c r="I69" s="115"/>
      <c r="J69" s="115"/>
      <c r="K69" s="115"/>
      <c r="L69" s="115"/>
      <c r="M69" s="115"/>
      <c r="N69" s="115"/>
      <c r="O69" s="115"/>
      <c r="P69" s="115"/>
      <c r="Q69" s="115"/>
      <c r="R69" s="115"/>
      <c r="S69" s="115"/>
      <c r="T69" s="115"/>
      <c r="U69" s="115"/>
      <c r="V69" s="115"/>
    </row>
    <row r="70" spans="1:22" x14ac:dyDescent="0.25">
      <c r="A70" s="108"/>
      <c r="B70" s="182"/>
      <c r="C70" s="115"/>
      <c r="D70" s="115"/>
      <c r="E70" s="115"/>
      <c r="F70" s="115"/>
      <c r="G70" s="115"/>
      <c r="H70" s="115"/>
      <c r="I70" s="115"/>
      <c r="J70" s="115"/>
      <c r="K70" s="115"/>
      <c r="L70" s="115"/>
      <c r="M70" s="115"/>
      <c r="N70" s="115"/>
      <c r="O70" s="115"/>
      <c r="P70" s="115"/>
      <c r="Q70" s="115"/>
      <c r="R70" s="115"/>
      <c r="S70" s="115"/>
      <c r="T70" s="115"/>
      <c r="U70" s="115"/>
      <c r="V70" s="115"/>
    </row>
    <row r="71" spans="1:22" x14ac:dyDescent="0.25">
      <c r="A71" s="108"/>
      <c r="B71" s="182"/>
      <c r="C71" s="177"/>
      <c r="D71" s="115"/>
      <c r="E71" s="115"/>
      <c r="F71" s="183"/>
      <c r="G71" s="89"/>
      <c r="H71" s="89"/>
      <c r="I71" s="89"/>
      <c r="J71" s="89"/>
      <c r="K71" s="89"/>
      <c r="L71" s="89"/>
      <c r="M71" s="89"/>
      <c r="N71" s="89"/>
      <c r="O71" s="89"/>
      <c r="P71" s="89"/>
      <c r="Q71" s="89"/>
      <c r="R71" s="115"/>
      <c r="S71" s="115"/>
      <c r="T71" s="115"/>
      <c r="U71" s="115"/>
      <c r="V71" s="115"/>
    </row>
    <row r="72" spans="1:22" x14ac:dyDescent="0.25">
      <c r="A72" s="108"/>
      <c r="B72" s="182"/>
      <c r="C72" s="115"/>
      <c r="D72" s="115"/>
      <c r="E72" s="115"/>
      <c r="F72" s="115"/>
      <c r="G72" s="115"/>
      <c r="H72" s="115"/>
      <c r="I72" s="115"/>
      <c r="J72" s="115"/>
      <c r="K72" s="115"/>
      <c r="L72" s="115"/>
      <c r="M72" s="115"/>
      <c r="N72" s="115"/>
      <c r="O72" s="115"/>
      <c r="P72" s="115"/>
      <c r="Q72" s="115"/>
      <c r="R72" s="115"/>
      <c r="S72" s="115"/>
      <c r="T72" s="115"/>
      <c r="U72" s="115"/>
      <c r="V72" s="115"/>
    </row>
    <row r="73" spans="1:22" x14ac:dyDescent="0.25">
      <c r="A73" s="108"/>
      <c r="B73" s="182"/>
      <c r="C73" s="177"/>
      <c r="D73" s="115"/>
      <c r="E73" s="115"/>
      <c r="F73" s="184"/>
      <c r="G73" s="184"/>
      <c r="H73" s="184"/>
      <c r="I73" s="184"/>
      <c r="J73" s="184"/>
      <c r="K73" s="184"/>
      <c r="L73" s="184"/>
      <c r="M73" s="184"/>
      <c r="N73" s="184"/>
      <c r="O73" s="184"/>
      <c r="P73" s="184"/>
      <c r="Q73" s="184"/>
      <c r="R73" s="115"/>
      <c r="S73" s="115"/>
      <c r="T73" s="115"/>
      <c r="U73" s="115"/>
      <c r="V73" s="115"/>
    </row>
    <row r="74" spans="1:22" x14ac:dyDescent="0.25">
      <c r="A74" s="108"/>
      <c r="B74" s="182"/>
      <c r="C74" s="177"/>
      <c r="D74" s="115"/>
      <c r="E74" s="115"/>
      <c r="F74" s="184"/>
      <c r="G74" s="184"/>
      <c r="H74" s="184"/>
      <c r="I74" s="184"/>
      <c r="J74" s="184"/>
      <c r="K74" s="184"/>
      <c r="L74" s="184"/>
      <c r="M74" s="184"/>
      <c r="N74" s="184"/>
      <c r="O74" s="184"/>
      <c r="P74" s="184"/>
      <c r="Q74" s="184"/>
      <c r="R74" s="115"/>
      <c r="S74" s="115"/>
      <c r="T74" s="115"/>
      <c r="U74" s="115"/>
      <c r="V74" s="115"/>
    </row>
    <row r="75" spans="1:22" x14ac:dyDescent="0.25">
      <c r="A75" s="108"/>
      <c r="B75" s="182"/>
      <c r="C75" s="115"/>
      <c r="D75" s="115"/>
      <c r="E75" s="115"/>
      <c r="F75" s="89"/>
      <c r="G75" s="89"/>
      <c r="H75" s="89"/>
      <c r="I75" s="89"/>
      <c r="J75" s="89"/>
      <c r="K75" s="89"/>
      <c r="L75" s="89"/>
      <c r="M75" s="89"/>
      <c r="N75" s="89"/>
      <c r="O75" s="89"/>
      <c r="P75" s="89"/>
      <c r="Q75" s="89"/>
      <c r="R75" s="115"/>
      <c r="S75" s="115"/>
      <c r="T75" s="115"/>
      <c r="U75" s="115"/>
      <c r="V75" s="115"/>
    </row>
    <row r="76" spans="1:22" x14ac:dyDescent="0.25">
      <c r="A76" s="108"/>
      <c r="B76" s="182"/>
      <c r="C76" s="115"/>
      <c r="D76" s="115"/>
      <c r="E76" s="115"/>
      <c r="F76" s="89"/>
      <c r="G76" s="89"/>
      <c r="H76" s="89"/>
      <c r="I76" s="89"/>
      <c r="J76" s="89"/>
      <c r="K76" s="89"/>
      <c r="L76" s="89"/>
      <c r="M76" s="89"/>
      <c r="N76" s="89"/>
      <c r="O76" s="89"/>
      <c r="P76" s="89"/>
      <c r="Q76" s="89"/>
      <c r="R76" s="115"/>
      <c r="S76" s="115"/>
      <c r="T76" s="115"/>
      <c r="U76" s="115"/>
      <c r="V76" s="115"/>
    </row>
    <row r="77" spans="1:22" x14ac:dyDescent="0.25">
      <c r="A77" s="108"/>
      <c r="B77" s="182"/>
      <c r="C77" s="115"/>
      <c r="D77" s="115"/>
      <c r="E77" s="115"/>
      <c r="F77" s="115"/>
      <c r="G77" s="115"/>
      <c r="H77" s="115"/>
      <c r="I77" s="115"/>
      <c r="J77" s="115"/>
      <c r="K77" s="115"/>
      <c r="L77" s="115"/>
      <c r="M77" s="115"/>
      <c r="N77" s="115"/>
      <c r="O77" s="115"/>
      <c r="P77" s="115"/>
      <c r="Q77" s="115"/>
      <c r="R77" s="115"/>
      <c r="S77" s="115"/>
      <c r="T77" s="115"/>
      <c r="U77" s="115"/>
      <c r="V77" s="115"/>
    </row>
    <row r="78" spans="1:22" x14ac:dyDescent="0.25">
      <c r="A78" s="108"/>
      <c r="B78" s="182"/>
      <c r="C78" s="177"/>
      <c r="D78" s="115"/>
      <c r="E78" s="115"/>
      <c r="F78" s="185"/>
      <c r="G78" s="89"/>
      <c r="H78" s="89"/>
      <c r="I78" s="89"/>
      <c r="J78" s="89"/>
      <c r="K78" s="89"/>
      <c r="L78" s="89"/>
      <c r="M78" s="89"/>
      <c r="N78" s="89"/>
      <c r="O78" s="89"/>
      <c r="P78" s="89"/>
      <c r="Q78" s="89"/>
      <c r="R78" s="115"/>
      <c r="S78" s="115"/>
      <c r="T78" s="115"/>
      <c r="U78" s="115"/>
      <c r="V78" s="115"/>
    </row>
    <row r="79" spans="1:22" x14ac:dyDescent="0.25">
      <c r="A79" s="108"/>
      <c r="B79" s="182"/>
      <c r="C79" s="115"/>
      <c r="D79" s="115"/>
      <c r="E79" s="115"/>
      <c r="F79" s="115"/>
      <c r="G79" s="115"/>
      <c r="H79" s="115"/>
      <c r="I79" s="115"/>
      <c r="J79" s="115"/>
      <c r="K79" s="115"/>
      <c r="L79" s="115"/>
      <c r="M79" s="115"/>
      <c r="N79" s="115"/>
      <c r="O79" s="115"/>
      <c r="P79" s="115"/>
      <c r="Q79" s="115"/>
      <c r="R79" s="115"/>
      <c r="S79" s="115"/>
      <c r="T79" s="115"/>
      <c r="U79" s="115"/>
      <c r="V79" s="115"/>
    </row>
    <row r="80" spans="1:22" x14ac:dyDescent="0.25">
      <c r="A80" s="108"/>
      <c r="B80" s="182"/>
      <c r="C80" s="115"/>
      <c r="D80" s="115"/>
      <c r="E80" s="115"/>
      <c r="F80" s="115"/>
      <c r="G80" s="89"/>
      <c r="H80" s="186"/>
      <c r="I80" s="186"/>
      <c r="J80" s="115"/>
      <c r="K80" s="115"/>
      <c r="L80" s="115"/>
      <c r="M80" s="115"/>
      <c r="N80" s="115"/>
      <c r="O80" s="115"/>
      <c r="P80" s="115"/>
      <c r="Q80" s="115"/>
      <c r="R80" s="115"/>
      <c r="S80" s="115"/>
      <c r="T80" s="115"/>
      <c r="U80" s="115"/>
      <c r="V80" s="115"/>
    </row>
    <row r="81" spans="1:22" x14ac:dyDescent="0.25">
      <c r="A81" s="108"/>
      <c r="B81" s="182"/>
      <c r="C81" s="115"/>
      <c r="D81" s="115"/>
      <c r="E81" s="115"/>
      <c r="F81" s="187"/>
      <c r="G81" s="188"/>
      <c r="H81" s="188"/>
      <c r="I81" s="188"/>
      <c r="J81" s="188"/>
      <c r="K81" s="188"/>
      <c r="L81" s="188"/>
      <c r="M81" s="188"/>
      <c r="N81" s="188"/>
      <c r="O81" s="188"/>
      <c r="P81" s="188"/>
      <c r="Q81" s="188"/>
      <c r="R81" s="115"/>
      <c r="S81" s="115"/>
      <c r="T81" s="115"/>
      <c r="U81" s="115"/>
      <c r="V81" s="115"/>
    </row>
    <row r="82" spans="1:22" x14ac:dyDescent="0.25">
      <c r="A82" s="108"/>
      <c r="B82" s="182"/>
      <c r="C82" s="115"/>
      <c r="D82" s="115"/>
      <c r="E82" s="115"/>
      <c r="F82" s="187"/>
      <c r="G82" s="188"/>
      <c r="H82" s="188"/>
      <c r="I82" s="188"/>
      <c r="J82" s="188"/>
      <c r="K82" s="188"/>
      <c r="L82" s="188"/>
      <c r="M82" s="188"/>
      <c r="N82" s="188"/>
      <c r="O82" s="188"/>
      <c r="P82" s="188"/>
      <c r="Q82" s="188"/>
      <c r="R82" s="115"/>
      <c r="S82" s="115"/>
      <c r="T82" s="115"/>
      <c r="U82" s="115"/>
      <c r="V82" s="115"/>
    </row>
    <row r="83" spans="1:22" x14ac:dyDescent="0.25">
      <c r="A83" s="108"/>
      <c r="B83" s="182"/>
      <c r="C83" s="115"/>
      <c r="D83" s="115"/>
      <c r="E83" s="115"/>
      <c r="F83" s="187"/>
      <c r="G83" s="188"/>
      <c r="H83" s="188"/>
      <c r="I83" s="188"/>
      <c r="J83" s="188"/>
      <c r="K83" s="188"/>
      <c r="L83" s="188"/>
      <c r="M83" s="188"/>
      <c r="N83" s="188"/>
      <c r="O83" s="188"/>
      <c r="P83" s="188"/>
      <c r="Q83" s="188"/>
      <c r="R83" s="115"/>
      <c r="S83" s="115"/>
      <c r="T83" s="115"/>
      <c r="U83" s="115"/>
      <c r="V83" s="115"/>
    </row>
    <row r="84" spans="1:22" x14ac:dyDescent="0.25">
      <c r="A84" s="108"/>
      <c r="B84" s="182"/>
      <c r="C84" s="115"/>
      <c r="D84" s="115"/>
      <c r="E84" s="115"/>
      <c r="F84" s="187"/>
      <c r="G84" s="188"/>
      <c r="H84" s="188"/>
      <c r="I84" s="188"/>
      <c r="J84" s="188"/>
      <c r="K84" s="188"/>
      <c r="L84" s="188"/>
      <c r="M84" s="188"/>
      <c r="N84" s="188"/>
      <c r="O84" s="188"/>
      <c r="P84" s="188"/>
      <c r="Q84" s="188"/>
      <c r="R84" s="115"/>
      <c r="S84" s="115"/>
      <c r="T84" s="115"/>
      <c r="U84" s="115"/>
      <c r="V84" s="115"/>
    </row>
    <row r="85" spans="1:22" x14ac:dyDescent="0.25">
      <c r="A85" s="108"/>
      <c r="B85" s="182"/>
      <c r="C85" s="115"/>
      <c r="D85" s="115"/>
      <c r="E85" s="115"/>
      <c r="F85" s="187"/>
      <c r="G85" s="188"/>
      <c r="H85" s="188"/>
      <c r="I85" s="188"/>
      <c r="J85" s="188"/>
      <c r="K85" s="188"/>
      <c r="L85" s="188"/>
      <c r="M85" s="188"/>
      <c r="N85" s="188"/>
      <c r="O85" s="188"/>
      <c r="P85" s="188"/>
      <c r="Q85" s="188"/>
      <c r="R85" s="115"/>
      <c r="S85" s="115"/>
      <c r="T85" s="115"/>
      <c r="U85" s="115"/>
      <c r="V85" s="115"/>
    </row>
    <row r="86" spans="1:22" x14ac:dyDescent="0.25">
      <c r="A86" s="108"/>
      <c r="B86" s="182"/>
      <c r="C86" s="115"/>
      <c r="D86" s="115"/>
      <c r="E86" s="115"/>
      <c r="F86" s="187"/>
      <c r="G86" s="187"/>
      <c r="H86" s="187"/>
      <c r="I86" s="187"/>
      <c r="J86" s="187"/>
      <c r="K86" s="187"/>
      <c r="L86" s="187"/>
      <c r="M86" s="187"/>
      <c r="N86" s="187"/>
      <c r="O86" s="187"/>
      <c r="P86" s="187"/>
      <c r="Q86" s="187"/>
      <c r="R86" s="115"/>
      <c r="S86" s="115"/>
      <c r="T86" s="115"/>
      <c r="U86" s="115"/>
      <c r="V86" s="115"/>
    </row>
    <row r="87" spans="1:22" x14ac:dyDescent="0.25">
      <c r="A87" s="108"/>
      <c r="B87" s="182"/>
      <c r="C87" s="115"/>
      <c r="D87" s="115"/>
      <c r="E87" s="115"/>
      <c r="F87" s="187"/>
      <c r="G87" s="187"/>
      <c r="H87" s="187"/>
      <c r="I87" s="187"/>
      <c r="J87" s="187"/>
      <c r="K87" s="187"/>
      <c r="L87" s="187"/>
      <c r="M87" s="187"/>
      <c r="N87" s="187"/>
      <c r="O87" s="187"/>
      <c r="P87" s="187"/>
      <c r="Q87" s="187"/>
      <c r="R87" s="115"/>
      <c r="S87" s="115"/>
      <c r="T87" s="115"/>
      <c r="U87" s="115"/>
      <c r="V87" s="115"/>
    </row>
    <row r="88" spans="1:22" x14ac:dyDescent="0.25">
      <c r="A88" s="108"/>
      <c r="B88" s="182"/>
      <c r="C88" s="115"/>
      <c r="D88" s="115"/>
      <c r="E88" s="115"/>
      <c r="F88" s="89"/>
      <c r="G88" s="184"/>
      <c r="H88" s="184"/>
      <c r="I88" s="184"/>
      <c r="J88" s="184"/>
      <c r="K88" s="184"/>
      <c r="L88" s="184"/>
      <c r="M88" s="184"/>
      <c r="N88" s="184"/>
      <c r="O88" s="184"/>
      <c r="P88" s="184"/>
      <c r="Q88" s="184"/>
      <c r="R88" s="115"/>
      <c r="S88" s="115"/>
      <c r="T88" s="115"/>
      <c r="U88" s="115"/>
      <c r="V88" s="115"/>
    </row>
    <row r="89" spans="1:22" x14ac:dyDescent="0.25">
      <c r="A89" s="108"/>
      <c r="B89" s="182"/>
      <c r="C89" s="115"/>
      <c r="D89" s="115"/>
      <c r="E89" s="115"/>
      <c r="F89" s="88"/>
      <c r="G89" s="88"/>
      <c r="H89" s="88"/>
      <c r="I89" s="88"/>
      <c r="J89" s="88"/>
      <c r="K89" s="88"/>
      <c r="L89" s="88"/>
      <c r="M89" s="88"/>
      <c r="N89" s="88"/>
      <c r="O89" s="88"/>
      <c r="P89" s="88"/>
      <c r="Q89" s="88"/>
      <c r="R89" s="115"/>
      <c r="S89" s="115"/>
      <c r="T89" s="115"/>
      <c r="U89" s="115"/>
      <c r="V89" s="115"/>
    </row>
    <row r="90" spans="1:22" x14ac:dyDescent="0.25">
      <c r="A90" s="108"/>
      <c r="B90" s="182"/>
      <c r="C90" s="177"/>
      <c r="D90" s="115"/>
      <c r="E90" s="115"/>
      <c r="F90" s="89"/>
      <c r="G90" s="89"/>
      <c r="H90" s="89"/>
      <c r="I90" s="89"/>
      <c r="J90" s="89"/>
      <c r="K90" s="89"/>
      <c r="L90" s="89"/>
      <c r="M90" s="89"/>
      <c r="N90" s="89"/>
      <c r="O90" s="89"/>
      <c r="P90" s="89"/>
      <c r="Q90" s="89"/>
      <c r="R90" s="115"/>
      <c r="S90" s="115"/>
      <c r="T90" s="115"/>
      <c r="U90" s="115"/>
      <c r="V90" s="115"/>
    </row>
    <row r="91" spans="1:22" x14ac:dyDescent="0.25">
      <c r="A91" s="108"/>
      <c r="B91" s="115"/>
      <c r="C91" s="177"/>
      <c r="D91" s="115"/>
      <c r="E91" s="115"/>
      <c r="F91" s="89"/>
      <c r="G91" s="89"/>
      <c r="H91" s="89"/>
      <c r="I91" s="89"/>
      <c r="J91" s="89"/>
      <c r="K91" s="89"/>
      <c r="L91" s="89"/>
      <c r="M91" s="89"/>
      <c r="N91" s="89"/>
      <c r="O91" s="89"/>
      <c r="P91" s="89"/>
      <c r="Q91" s="89"/>
      <c r="R91" s="115"/>
      <c r="S91" s="115"/>
      <c r="T91" s="115"/>
      <c r="U91" s="115"/>
      <c r="V91" s="115"/>
    </row>
    <row r="92" spans="1:22" x14ac:dyDescent="0.25">
      <c r="A92" s="108"/>
      <c r="B92" s="177"/>
      <c r="C92" s="115"/>
      <c r="D92" s="115"/>
      <c r="E92" s="115"/>
      <c r="F92" s="185"/>
      <c r="G92" s="89"/>
      <c r="H92" s="89"/>
      <c r="I92" s="89"/>
      <c r="J92" s="89"/>
      <c r="K92" s="89"/>
      <c r="L92" s="89"/>
      <c r="M92" s="89"/>
      <c r="N92" s="89"/>
      <c r="O92" s="89"/>
      <c r="P92" s="89"/>
      <c r="Q92" s="89"/>
      <c r="R92" s="115"/>
      <c r="S92" s="115"/>
      <c r="T92" s="115"/>
      <c r="U92" s="115"/>
      <c r="V92" s="115"/>
    </row>
    <row r="93" spans="1:22" x14ac:dyDescent="0.25">
      <c r="B93" s="115"/>
      <c r="C93" s="115"/>
      <c r="D93" s="115"/>
      <c r="E93" s="115"/>
      <c r="F93" s="115"/>
      <c r="G93" s="115"/>
      <c r="H93" s="115"/>
      <c r="I93" s="115"/>
      <c r="J93" s="115"/>
      <c r="K93" s="115"/>
      <c r="L93" s="115"/>
      <c r="M93" s="115"/>
      <c r="N93" s="115"/>
      <c r="O93" s="115"/>
      <c r="P93" s="115"/>
      <c r="Q93" s="115"/>
      <c r="R93" s="115"/>
      <c r="S93" s="115"/>
      <c r="T93" s="115"/>
      <c r="U93" s="115"/>
      <c r="V93" s="115"/>
    </row>
    <row r="94" spans="1:22" x14ac:dyDescent="0.25">
      <c r="B94" s="115"/>
      <c r="C94" s="115"/>
      <c r="D94" s="115"/>
      <c r="E94" s="115"/>
      <c r="F94" s="184"/>
      <c r="G94" s="184"/>
      <c r="H94" s="184"/>
      <c r="I94" s="184"/>
      <c r="J94" s="184"/>
      <c r="K94" s="184"/>
      <c r="L94" s="184"/>
      <c r="M94" s="184"/>
      <c r="N94" s="184"/>
      <c r="O94" s="184"/>
      <c r="P94" s="184"/>
      <c r="Q94" s="184"/>
      <c r="R94" s="115"/>
      <c r="S94" s="115"/>
      <c r="T94" s="115"/>
      <c r="U94" s="115"/>
      <c r="V94" s="115"/>
    </row>
    <row r="95" spans="1:22" x14ac:dyDescent="0.25">
      <c r="B95" s="189"/>
      <c r="C95" s="115"/>
      <c r="D95" s="115"/>
      <c r="E95" s="115"/>
      <c r="F95" s="185"/>
      <c r="G95" s="184"/>
      <c r="H95" s="184"/>
      <c r="I95" s="184"/>
      <c r="J95" s="184"/>
      <c r="K95" s="184"/>
      <c r="L95" s="184"/>
      <c r="M95" s="184"/>
      <c r="N95" s="184"/>
      <c r="O95" s="184"/>
      <c r="P95" s="184"/>
      <c r="Q95" s="184"/>
      <c r="R95" s="115"/>
      <c r="S95" s="115"/>
      <c r="T95" s="115"/>
      <c r="U95" s="115"/>
      <c r="V95" s="115"/>
    </row>
    <row r="96" spans="1:22" x14ac:dyDescent="0.25">
      <c r="B96" s="177"/>
      <c r="C96" s="115"/>
      <c r="D96" s="115"/>
      <c r="E96" s="115"/>
      <c r="F96" s="184"/>
      <c r="G96" s="184"/>
      <c r="H96" s="184"/>
      <c r="I96" s="184"/>
      <c r="J96" s="184"/>
      <c r="K96" s="184"/>
      <c r="L96" s="184"/>
      <c r="M96" s="184"/>
      <c r="N96" s="184"/>
      <c r="O96" s="184"/>
      <c r="P96" s="184"/>
      <c r="Q96" s="184"/>
      <c r="R96" s="115"/>
      <c r="S96" s="115"/>
      <c r="T96" s="115"/>
      <c r="U96" s="115"/>
      <c r="V96" s="115"/>
    </row>
    <row r="97" spans="1:22" x14ac:dyDescent="0.25">
      <c r="B97" s="115"/>
      <c r="C97" s="115"/>
      <c r="D97" s="115"/>
      <c r="E97" s="115"/>
      <c r="F97" s="88"/>
      <c r="G97" s="88"/>
      <c r="H97" s="88"/>
      <c r="I97" s="88"/>
      <c r="J97" s="88"/>
      <c r="K97" s="88"/>
      <c r="L97" s="88"/>
      <c r="M97" s="88"/>
      <c r="N97" s="88"/>
      <c r="O97" s="88"/>
      <c r="P97" s="88"/>
      <c r="Q97" s="88"/>
      <c r="R97" s="115"/>
      <c r="S97" s="115"/>
      <c r="T97" s="115"/>
      <c r="U97" s="115"/>
      <c r="V97" s="115"/>
    </row>
    <row r="98" spans="1:22" x14ac:dyDescent="0.25">
      <c r="B98" s="177"/>
      <c r="C98" s="115"/>
      <c r="D98" s="115"/>
      <c r="E98" s="115"/>
      <c r="F98" s="88"/>
      <c r="G98" s="88"/>
      <c r="H98" s="88"/>
      <c r="I98" s="88"/>
      <c r="J98" s="88"/>
      <c r="K98" s="88"/>
      <c r="L98" s="88"/>
      <c r="M98" s="88"/>
      <c r="N98" s="88"/>
      <c r="O98" s="88"/>
      <c r="P98" s="88"/>
      <c r="Q98" s="88"/>
      <c r="R98" s="115"/>
      <c r="S98" s="115"/>
      <c r="T98" s="115"/>
      <c r="U98" s="115"/>
      <c r="V98" s="115"/>
    </row>
    <row r="99" spans="1:22" x14ac:dyDescent="0.25">
      <c r="B99" s="177"/>
      <c r="C99" s="115"/>
      <c r="D99" s="115"/>
      <c r="E99" s="115"/>
      <c r="F99" s="88"/>
      <c r="G99" s="88"/>
      <c r="H99" s="88"/>
      <c r="I99" s="88"/>
      <c r="J99" s="88"/>
      <c r="K99" s="88"/>
      <c r="L99" s="88"/>
      <c r="M99" s="88"/>
      <c r="N99" s="88"/>
      <c r="O99" s="88"/>
      <c r="P99" s="88"/>
      <c r="Q99" s="88"/>
      <c r="R99" s="115"/>
      <c r="S99" s="115"/>
      <c r="T99" s="115"/>
      <c r="U99" s="115"/>
      <c r="V99" s="115"/>
    </row>
    <row r="100" spans="1:22" x14ac:dyDescent="0.25">
      <c r="B100" s="177"/>
      <c r="C100" s="115"/>
      <c r="D100" s="115"/>
      <c r="E100" s="115"/>
      <c r="F100" s="88"/>
      <c r="G100" s="88"/>
      <c r="H100" s="88"/>
      <c r="I100" s="88"/>
      <c r="J100" s="88"/>
      <c r="K100" s="88"/>
      <c r="L100" s="88"/>
      <c r="M100" s="88"/>
      <c r="N100" s="88"/>
      <c r="O100" s="88"/>
      <c r="P100" s="88"/>
      <c r="Q100" s="88"/>
      <c r="R100" s="115"/>
      <c r="S100" s="115"/>
      <c r="T100" s="115"/>
      <c r="U100" s="115"/>
      <c r="V100" s="115"/>
    </row>
    <row r="101" spans="1:22" x14ac:dyDescent="0.25">
      <c r="B101" s="189"/>
      <c r="C101" s="115"/>
      <c r="D101" s="115"/>
      <c r="E101" s="115"/>
      <c r="F101" s="88"/>
      <c r="G101" s="88"/>
      <c r="H101" s="88"/>
      <c r="I101" s="88"/>
      <c r="J101" s="88"/>
      <c r="K101" s="88"/>
      <c r="L101" s="88"/>
      <c r="M101" s="88"/>
      <c r="N101" s="88"/>
      <c r="O101" s="88"/>
      <c r="P101" s="88"/>
      <c r="Q101" s="88"/>
      <c r="R101" s="115"/>
      <c r="S101" s="115"/>
      <c r="T101" s="115"/>
      <c r="U101" s="115"/>
      <c r="V101" s="115"/>
    </row>
    <row r="102" spans="1:22" x14ac:dyDescent="0.25">
      <c r="B102" s="177"/>
      <c r="C102" s="115"/>
      <c r="D102" s="115"/>
      <c r="E102" s="115"/>
      <c r="F102" s="184"/>
      <c r="G102" s="184"/>
      <c r="H102" s="184"/>
      <c r="I102" s="184"/>
      <c r="J102" s="184"/>
      <c r="K102" s="184"/>
      <c r="L102" s="184"/>
      <c r="M102" s="184"/>
      <c r="N102" s="184"/>
      <c r="O102" s="184"/>
      <c r="P102" s="184"/>
      <c r="Q102" s="184"/>
      <c r="R102" s="115"/>
      <c r="S102" s="115"/>
      <c r="T102" s="115"/>
      <c r="U102" s="115"/>
      <c r="V102" s="115"/>
    </row>
    <row r="103" spans="1:22" x14ac:dyDescent="0.25">
      <c r="B103" s="115"/>
      <c r="C103" s="115"/>
      <c r="D103" s="115"/>
      <c r="E103" s="115"/>
      <c r="F103" s="89"/>
      <c r="G103" s="89"/>
      <c r="H103" s="89"/>
      <c r="I103" s="89"/>
      <c r="J103" s="89"/>
      <c r="K103" s="89"/>
      <c r="L103" s="89"/>
      <c r="M103" s="89"/>
      <c r="N103" s="89"/>
      <c r="O103" s="89"/>
      <c r="P103" s="89"/>
      <c r="Q103" s="89"/>
      <c r="R103" s="115"/>
      <c r="S103" s="115"/>
      <c r="T103" s="115"/>
      <c r="U103" s="115"/>
      <c r="V103" s="115"/>
    </row>
    <row r="104" spans="1:22" x14ac:dyDescent="0.25">
      <c r="B104" s="189"/>
      <c r="C104" s="115"/>
      <c r="D104" s="115"/>
      <c r="E104" s="115"/>
      <c r="F104" s="89"/>
      <c r="G104" s="89"/>
      <c r="H104" s="89"/>
      <c r="I104" s="89"/>
      <c r="J104" s="89"/>
      <c r="K104" s="89"/>
      <c r="L104" s="89"/>
      <c r="M104" s="89"/>
      <c r="N104" s="89"/>
      <c r="O104" s="89"/>
      <c r="P104" s="89"/>
      <c r="Q104" s="89"/>
      <c r="R104" s="115"/>
      <c r="S104" s="115"/>
      <c r="T104" s="115"/>
      <c r="U104" s="115"/>
      <c r="V104" s="115"/>
    </row>
    <row r="105" spans="1:22" x14ac:dyDescent="0.25">
      <c r="B105" s="189"/>
      <c r="C105" s="115"/>
      <c r="D105" s="115"/>
      <c r="E105" s="115"/>
      <c r="F105" s="88"/>
      <c r="G105" s="88"/>
      <c r="H105" s="88"/>
      <c r="I105" s="88"/>
      <c r="J105" s="88"/>
      <c r="K105" s="88"/>
      <c r="L105" s="88"/>
      <c r="M105" s="88"/>
      <c r="N105" s="88"/>
      <c r="O105" s="88"/>
      <c r="P105" s="88"/>
      <c r="Q105" s="88"/>
      <c r="R105" s="115"/>
      <c r="S105" s="115"/>
      <c r="T105" s="115"/>
      <c r="U105" s="115"/>
      <c r="V105" s="115"/>
    </row>
    <row r="106" spans="1:22" x14ac:dyDescent="0.25">
      <c r="B106" s="189"/>
      <c r="C106" s="115"/>
      <c r="D106" s="115"/>
      <c r="E106" s="115"/>
      <c r="F106" s="89"/>
      <c r="G106" s="89"/>
      <c r="H106" s="89"/>
      <c r="I106" s="89"/>
      <c r="J106" s="89"/>
      <c r="K106" s="89"/>
      <c r="L106" s="89"/>
      <c r="M106" s="89"/>
      <c r="N106" s="89"/>
      <c r="O106" s="89"/>
      <c r="P106" s="89"/>
      <c r="Q106" s="89"/>
      <c r="R106" s="115"/>
      <c r="S106" s="115"/>
      <c r="T106" s="115"/>
      <c r="U106" s="115"/>
      <c r="V106" s="115"/>
    </row>
    <row r="107" spans="1:22" x14ac:dyDescent="0.25">
      <c r="B107" s="189"/>
      <c r="C107" s="115"/>
      <c r="D107" s="115"/>
      <c r="E107" s="115"/>
      <c r="F107" s="188"/>
      <c r="G107" s="188"/>
      <c r="H107" s="188"/>
      <c r="I107" s="188"/>
      <c r="J107" s="188"/>
      <c r="K107" s="188"/>
      <c r="L107" s="188"/>
      <c r="M107" s="188"/>
      <c r="N107" s="188"/>
      <c r="O107" s="188"/>
      <c r="P107" s="188"/>
      <c r="Q107" s="188"/>
      <c r="R107" s="188"/>
      <c r="S107" s="188"/>
      <c r="T107" s="115"/>
      <c r="U107" s="115"/>
      <c r="V107" s="115"/>
    </row>
    <row r="108" spans="1:22" x14ac:dyDescent="0.25">
      <c r="B108" s="189"/>
      <c r="C108" s="115"/>
      <c r="D108" s="115"/>
      <c r="E108" s="115"/>
      <c r="F108" s="190"/>
      <c r="G108" s="190"/>
      <c r="H108" s="190"/>
      <c r="I108" s="190"/>
      <c r="J108" s="190"/>
      <c r="K108" s="190"/>
      <c r="L108" s="190"/>
      <c r="M108" s="190"/>
      <c r="N108" s="190"/>
      <c r="O108" s="190"/>
      <c r="P108" s="190"/>
      <c r="Q108" s="190"/>
      <c r="R108" s="191"/>
      <c r="S108" s="191"/>
      <c r="T108" s="115"/>
      <c r="U108" s="115"/>
      <c r="V108" s="115"/>
    </row>
    <row r="109" spans="1:22" x14ac:dyDescent="0.25">
      <c r="B109" s="189"/>
      <c r="C109" s="115"/>
      <c r="D109" s="115"/>
      <c r="E109" s="115"/>
      <c r="F109" s="190"/>
      <c r="G109" s="190"/>
      <c r="H109" s="190"/>
      <c r="I109" s="190"/>
      <c r="J109" s="190"/>
      <c r="K109" s="190"/>
      <c r="L109" s="190"/>
      <c r="M109" s="190"/>
      <c r="N109" s="190"/>
      <c r="O109" s="190"/>
      <c r="P109" s="190"/>
      <c r="Q109" s="190"/>
      <c r="R109" s="191"/>
      <c r="S109" s="191"/>
      <c r="T109" s="115"/>
      <c r="U109" s="115"/>
      <c r="V109" s="115"/>
    </row>
    <row r="110" spans="1:22" x14ac:dyDescent="0.25">
      <c r="B110" s="192"/>
      <c r="F110" s="161"/>
      <c r="G110" s="161"/>
      <c r="H110" s="161"/>
      <c r="I110" s="161"/>
      <c r="J110" s="161"/>
      <c r="K110" s="161"/>
      <c r="L110" s="161"/>
      <c r="M110" s="161"/>
      <c r="N110" s="161"/>
      <c r="O110" s="161"/>
      <c r="P110" s="161"/>
      <c r="Q110" s="161"/>
      <c r="R110" s="193"/>
      <c r="S110" s="193"/>
    </row>
    <row r="111" spans="1:22" ht="46.5" customHeight="1" x14ac:dyDescent="0.25">
      <c r="A111" s="376"/>
      <c r="B111" s="376"/>
      <c r="C111" s="376"/>
      <c r="D111" s="376"/>
      <c r="E111" s="376"/>
      <c r="F111" s="376"/>
      <c r="G111" s="376"/>
      <c r="H111" s="376"/>
      <c r="I111" s="376"/>
      <c r="J111" s="376"/>
      <c r="K111" s="376"/>
      <c r="L111" s="376"/>
      <c r="M111" s="376"/>
      <c r="N111" s="376"/>
      <c r="O111" s="376"/>
      <c r="P111" s="194"/>
      <c r="Q111" s="120"/>
    </row>
    <row r="113" spans="2:17" x14ac:dyDescent="0.25">
      <c r="B113" s="171"/>
    </row>
    <row r="115" spans="2:17" x14ac:dyDescent="0.25">
      <c r="C115" s="195"/>
      <c r="D115" s="195"/>
      <c r="E115" s="195"/>
      <c r="J115" s="122"/>
    </row>
    <row r="116" spans="2:17" x14ac:dyDescent="0.25">
      <c r="C116" s="196"/>
      <c r="D116" s="197"/>
      <c r="E116" s="196"/>
      <c r="F116" s="120"/>
      <c r="G116" s="120"/>
      <c r="H116" s="120"/>
      <c r="I116" s="120"/>
      <c r="J116" s="120"/>
      <c r="K116" s="120"/>
      <c r="L116" s="120"/>
      <c r="M116" s="120"/>
      <c r="N116" s="120"/>
      <c r="O116" s="120"/>
      <c r="P116" s="120"/>
      <c r="Q116" s="120"/>
    </row>
    <row r="117" spans="2:17" x14ac:dyDescent="0.25">
      <c r="C117" s="196"/>
      <c r="D117" s="197"/>
      <c r="E117" s="196"/>
      <c r="F117" s="120"/>
      <c r="G117" s="120"/>
      <c r="H117" s="120"/>
      <c r="I117" s="120"/>
      <c r="J117" s="120"/>
      <c r="K117" s="120"/>
      <c r="L117" s="120"/>
      <c r="M117" s="120"/>
      <c r="N117" s="120"/>
      <c r="O117" s="120"/>
      <c r="P117" s="120"/>
      <c r="Q117" s="120"/>
    </row>
    <row r="118" spans="2:17" x14ac:dyDescent="0.25">
      <c r="C118" s="196"/>
      <c r="D118" s="197"/>
      <c r="E118" s="196"/>
      <c r="F118" s="120"/>
      <c r="G118" s="120"/>
      <c r="H118" s="120"/>
      <c r="I118" s="120"/>
      <c r="J118" s="120"/>
      <c r="K118" s="120"/>
      <c r="L118" s="120"/>
      <c r="M118" s="120"/>
      <c r="N118" s="120"/>
      <c r="O118" s="120"/>
      <c r="P118" s="120"/>
      <c r="Q118" s="120"/>
    </row>
    <row r="119" spans="2:17" x14ac:dyDescent="0.25">
      <c r="C119" s="196"/>
      <c r="D119" s="197"/>
      <c r="E119" s="196"/>
      <c r="F119" s="120"/>
      <c r="G119" s="120"/>
      <c r="H119" s="120"/>
      <c r="I119" s="120"/>
      <c r="J119" s="120"/>
      <c r="K119" s="120"/>
      <c r="L119" s="120"/>
      <c r="M119" s="120"/>
      <c r="N119" s="120"/>
      <c r="O119" s="120"/>
      <c r="P119" s="120"/>
      <c r="Q119" s="120"/>
    </row>
    <row r="120" spans="2:17" x14ac:dyDescent="0.25">
      <c r="C120" s="196"/>
      <c r="D120" s="197"/>
      <c r="E120" s="196"/>
      <c r="F120" s="120"/>
      <c r="G120" s="120"/>
      <c r="H120" s="120"/>
      <c r="I120" s="120"/>
      <c r="J120" s="120"/>
      <c r="K120" s="120"/>
      <c r="L120" s="120"/>
      <c r="M120" s="120"/>
      <c r="N120" s="120"/>
      <c r="O120" s="120"/>
      <c r="P120" s="120"/>
      <c r="Q120" s="120"/>
    </row>
    <row r="121" spans="2:17" x14ac:dyDescent="0.25">
      <c r="C121" s="196"/>
      <c r="D121" s="197"/>
      <c r="E121" s="196"/>
      <c r="F121" s="120"/>
      <c r="G121" s="120"/>
      <c r="H121" s="120"/>
      <c r="I121" s="120"/>
      <c r="J121" s="120"/>
      <c r="K121" s="120"/>
      <c r="L121" s="120"/>
      <c r="M121" s="120"/>
      <c r="N121" s="120"/>
      <c r="O121" s="120"/>
      <c r="P121" s="120"/>
      <c r="Q121" s="120"/>
    </row>
    <row r="122" spans="2:17" x14ac:dyDescent="0.25">
      <c r="C122" s="196"/>
      <c r="D122" s="197"/>
      <c r="E122" s="196"/>
      <c r="F122" s="120"/>
      <c r="G122" s="120"/>
      <c r="H122" s="120"/>
      <c r="I122" s="120"/>
      <c r="J122" s="120"/>
      <c r="K122" s="120"/>
      <c r="L122" s="120"/>
      <c r="M122" s="120"/>
      <c r="N122" s="120"/>
      <c r="O122" s="120"/>
      <c r="P122" s="120"/>
      <c r="Q122" s="120"/>
    </row>
    <row r="123" spans="2:17" x14ac:dyDescent="0.25">
      <c r="C123" s="196"/>
      <c r="D123" s="197"/>
      <c r="E123" s="196"/>
      <c r="F123" s="120"/>
      <c r="G123" s="120"/>
      <c r="H123" s="120"/>
      <c r="I123" s="120"/>
      <c r="J123" s="120"/>
      <c r="K123" s="120"/>
      <c r="L123" s="120"/>
      <c r="M123" s="120"/>
      <c r="N123" s="120"/>
      <c r="O123" s="120"/>
      <c r="P123" s="120"/>
      <c r="Q123" s="120"/>
    </row>
    <row r="124" spans="2:17" x14ac:dyDescent="0.25">
      <c r="C124" s="196"/>
      <c r="D124" s="197"/>
      <c r="E124" s="196"/>
      <c r="F124" s="120"/>
      <c r="G124" s="120"/>
      <c r="H124" s="120"/>
      <c r="I124" s="120"/>
      <c r="J124" s="120"/>
      <c r="K124" s="120"/>
      <c r="L124" s="120"/>
      <c r="M124" s="120"/>
      <c r="N124" s="120"/>
      <c r="O124" s="120"/>
      <c r="P124" s="120"/>
      <c r="Q124" s="120"/>
    </row>
    <row r="125" spans="2:17" x14ac:dyDescent="0.25">
      <c r="C125" s="196"/>
      <c r="D125" s="197"/>
      <c r="E125" s="196"/>
      <c r="F125" s="120"/>
      <c r="G125" s="120"/>
      <c r="H125" s="120"/>
      <c r="I125" s="120"/>
      <c r="J125" s="120"/>
      <c r="K125" s="120"/>
      <c r="L125" s="120"/>
      <c r="M125" s="120"/>
      <c r="N125" s="120"/>
      <c r="O125" s="120"/>
      <c r="P125" s="120"/>
      <c r="Q125" s="120"/>
    </row>
    <row r="126" spans="2:17" x14ac:dyDescent="0.25">
      <c r="C126" s="196"/>
      <c r="D126" s="197"/>
      <c r="E126" s="196"/>
      <c r="F126" s="120"/>
      <c r="G126" s="120"/>
      <c r="H126" s="120"/>
      <c r="I126" s="120"/>
      <c r="J126" s="120"/>
      <c r="K126" s="120"/>
      <c r="L126" s="120"/>
      <c r="M126" s="120"/>
      <c r="N126" s="120"/>
      <c r="O126" s="120"/>
      <c r="P126" s="120"/>
      <c r="Q126" s="120"/>
    </row>
    <row r="127" spans="2:17" x14ac:dyDescent="0.25">
      <c r="C127" s="196"/>
      <c r="D127" s="197"/>
      <c r="E127" s="196"/>
      <c r="F127" s="120"/>
      <c r="G127" s="120"/>
      <c r="H127" s="120"/>
      <c r="I127" s="120"/>
      <c r="J127" s="120"/>
      <c r="K127" s="120"/>
      <c r="L127" s="120"/>
      <c r="M127" s="120"/>
      <c r="N127" s="120"/>
      <c r="O127" s="120"/>
      <c r="P127" s="120"/>
      <c r="Q127" s="120"/>
    </row>
    <row r="128" spans="2:17" x14ac:dyDescent="0.25">
      <c r="C128" s="196"/>
      <c r="D128" s="197"/>
      <c r="E128" s="196"/>
      <c r="F128" s="120"/>
      <c r="G128" s="120"/>
      <c r="H128" s="120"/>
      <c r="I128" s="120"/>
      <c r="J128" s="120"/>
      <c r="K128" s="120"/>
      <c r="L128" s="120"/>
      <c r="M128" s="120"/>
      <c r="N128" s="120"/>
      <c r="O128" s="120"/>
      <c r="P128" s="120"/>
      <c r="Q128" s="120"/>
    </row>
    <row r="129" spans="3:17" x14ac:dyDescent="0.25">
      <c r="C129" s="196"/>
      <c r="D129" s="197"/>
      <c r="E129" s="196"/>
      <c r="F129" s="120"/>
      <c r="G129" s="120"/>
      <c r="H129" s="120"/>
      <c r="I129" s="120"/>
      <c r="J129" s="120"/>
      <c r="K129" s="120"/>
      <c r="L129" s="120"/>
      <c r="M129" s="120"/>
      <c r="N129" s="120"/>
      <c r="O129" s="120"/>
      <c r="P129" s="120"/>
      <c r="Q129" s="120"/>
    </row>
    <row r="130" spans="3:17" x14ac:dyDescent="0.25">
      <c r="C130" s="196"/>
      <c r="D130" s="197"/>
      <c r="E130" s="196"/>
      <c r="F130" s="120"/>
      <c r="G130" s="120"/>
      <c r="H130" s="120"/>
      <c r="I130" s="120"/>
      <c r="J130" s="120"/>
      <c r="K130" s="120"/>
      <c r="L130" s="120"/>
      <c r="M130" s="120"/>
      <c r="N130" s="120"/>
      <c r="O130" s="120"/>
      <c r="P130" s="120"/>
      <c r="Q130" s="120"/>
    </row>
    <row r="131" spans="3:17" x14ac:dyDescent="0.25">
      <c r="C131" s="196"/>
      <c r="D131" s="197"/>
      <c r="E131" s="196"/>
      <c r="F131" s="120"/>
      <c r="G131" s="120"/>
      <c r="H131" s="120"/>
      <c r="I131" s="120"/>
      <c r="J131" s="120"/>
      <c r="K131" s="120"/>
      <c r="L131" s="120"/>
      <c r="M131" s="120"/>
      <c r="N131" s="120"/>
      <c r="O131" s="120"/>
      <c r="P131" s="120"/>
      <c r="Q131" s="120"/>
    </row>
    <row r="132" spans="3:17" x14ac:dyDescent="0.25">
      <c r="C132" s="196"/>
      <c r="D132" s="197"/>
      <c r="E132" s="196"/>
      <c r="F132" s="120"/>
      <c r="G132" s="120"/>
      <c r="H132" s="120"/>
      <c r="I132" s="120"/>
      <c r="J132" s="120"/>
      <c r="K132" s="120"/>
      <c r="L132" s="120"/>
      <c r="M132" s="120"/>
      <c r="N132" s="120"/>
      <c r="O132" s="120"/>
      <c r="P132" s="120"/>
      <c r="Q132" s="120"/>
    </row>
    <row r="133" spans="3:17" x14ac:dyDescent="0.25">
      <c r="C133" s="196"/>
      <c r="D133" s="197"/>
      <c r="E133" s="196"/>
      <c r="F133" s="120"/>
      <c r="G133" s="120"/>
      <c r="H133" s="120"/>
      <c r="I133" s="120"/>
      <c r="J133" s="120"/>
      <c r="K133" s="120"/>
      <c r="L133" s="120"/>
      <c r="M133" s="120"/>
      <c r="N133" s="120"/>
      <c r="O133" s="120"/>
      <c r="P133" s="120"/>
      <c r="Q133" s="120"/>
    </row>
    <row r="134" spans="3:17" x14ac:dyDescent="0.25">
      <c r="C134" s="196"/>
      <c r="D134" s="197"/>
      <c r="E134" s="196"/>
      <c r="F134" s="120"/>
      <c r="G134" s="120"/>
      <c r="H134" s="120"/>
      <c r="I134" s="120"/>
      <c r="J134" s="120"/>
      <c r="K134" s="120"/>
      <c r="L134" s="120"/>
      <c r="M134" s="120"/>
      <c r="N134" s="120"/>
      <c r="O134" s="120"/>
      <c r="P134" s="120"/>
      <c r="Q134" s="120"/>
    </row>
    <row r="135" spans="3:17" x14ac:dyDescent="0.25">
      <c r="C135" s="196"/>
      <c r="D135" s="197"/>
      <c r="E135" s="196"/>
      <c r="F135" s="120"/>
      <c r="G135" s="120"/>
      <c r="H135" s="120"/>
      <c r="I135" s="120"/>
      <c r="J135" s="120"/>
      <c r="K135" s="120"/>
      <c r="L135" s="120"/>
      <c r="M135" s="120"/>
      <c r="N135" s="120"/>
      <c r="O135" s="120"/>
      <c r="P135" s="120"/>
      <c r="Q135" s="120"/>
    </row>
    <row r="136" spans="3:17" x14ac:dyDescent="0.25">
      <c r="C136" s="196"/>
      <c r="D136" s="197"/>
      <c r="E136" s="196"/>
      <c r="F136" s="120"/>
      <c r="G136" s="120"/>
      <c r="H136" s="120"/>
      <c r="I136" s="120"/>
      <c r="J136" s="120"/>
      <c r="K136" s="120"/>
      <c r="L136" s="120"/>
      <c r="M136" s="120"/>
      <c r="N136" s="120"/>
      <c r="O136" s="120"/>
      <c r="P136" s="120"/>
      <c r="Q136" s="120"/>
    </row>
    <row r="137" spans="3:17" x14ac:dyDescent="0.25">
      <c r="C137" s="196"/>
      <c r="D137" s="197"/>
      <c r="E137" s="196"/>
      <c r="F137" s="120"/>
      <c r="G137" s="120"/>
      <c r="H137" s="120"/>
      <c r="I137" s="120"/>
      <c r="J137" s="120"/>
      <c r="K137" s="120"/>
      <c r="L137" s="120"/>
      <c r="M137" s="120"/>
      <c r="N137" s="120"/>
      <c r="O137" s="120"/>
      <c r="P137" s="120"/>
      <c r="Q137" s="120"/>
    </row>
    <row r="138" spans="3:17" x14ac:dyDescent="0.25">
      <c r="C138" s="196"/>
      <c r="D138" s="197"/>
      <c r="E138" s="196"/>
      <c r="F138" s="120"/>
      <c r="G138" s="120"/>
      <c r="H138" s="120"/>
      <c r="I138" s="120"/>
      <c r="J138" s="120"/>
      <c r="K138" s="120"/>
      <c r="L138" s="120"/>
      <c r="M138" s="120"/>
      <c r="N138" s="120"/>
      <c r="O138" s="120"/>
      <c r="P138" s="120"/>
      <c r="Q138" s="120"/>
    </row>
    <row r="139" spans="3:17" x14ac:dyDescent="0.25">
      <c r="C139" s="196"/>
      <c r="D139" s="197"/>
      <c r="E139" s="196"/>
      <c r="F139" s="120"/>
      <c r="G139" s="120"/>
      <c r="H139" s="120"/>
      <c r="I139" s="120"/>
      <c r="J139" s="120"/>
      <c r="K139" s="120"/>
      <c r="L139" s="120"/>
      <c r="M139" s="120"/>
      <c r="N139" s="120"/>
      <c r="O139" s="120"/>
      <c r="P139" s="120"/>
      <c r="Q139" s="120"/>
    </row>
    <row r="140" spans="3:17" x14ac:dyDescent="0.25">
      <c r="C140" s="196"/>
      <c r="D140" s="197"/>
      <c r="E140" s="196"/>
      <c r="F140" s="120"/>
      <c r="G140" s="120"/>
      <c r="H140" s="120"/>
      <c r="I140" s="120"/>
      <c r="J140" s="120"/>
      <c r="K140" s="120"/>
      <c r="L140" s="120"/>
      <c r="M140" s="120"/>
      <c r="N140" s="120"/>
      <c r="O140" s="120"/>
      <c r="P140" s="120"/>
      <c r="Q140" s="120"/>
    </row>
    <row r="141" spans="3:17" x14ac:dyDescent="0.25">
      <c r="C141" s="196"/>
      <c r="D141" s="197"/>
      <c r="E141" s="196"/>
      <c r="F141" s="120"/>
      <c r="G141" s="120"/>
      <c r="H141" s="120"/>
      <c r="I141" s="120"/>
      <c r="J141" s="120"/>
      <c r="K141" s="120"/>
      <c r="L141" s="120"/>
      <c r="M141" s="120"/>
      <c r="N141" s="120"/>
      <c r="O141" s="120"/>
      <c r="P141" s="120"/>
      <c r="Q141" s="120"/>
    </row>
    <row r="142" spans="3:17" x14ac:dyDescent="0.25">
      <c r="C142" s="196"/>
      <c r="D142" s="197"/>
      <c r="E142" s="196"/>
      <c r="F142" s="120"/>
      <c r="G142" s="120"/>
      <c r="H142" s="120"/>
      <c r="I142" s="120"/>
      <c r="J142" s="120"/>
      <c r="K142" s="120"/>
      <c r="L142" s="120"/>
      <c r="M142" s="120"/>
      <c r="N142" s="120"/>
      <c r="O142" s="120"/>
      <c r="P142" s="120"/>
      <c r="Q142" s="120"/>
    </row>
    <row r="143" spans="3:17" x14ac:dyDescent="0.25">
      <c r="C143" s="196"/>
      <c r="D143" s="197"/>
      <c r="E143" s="196"/>
      <c r="F143" s="120"/>
      <c r="G143" s="120"/>
      <c r="H143" s="120"/>
      <c r="I143" s="120"/>
      <c r="J143" s="120"/>
      <c r="K143" s="120"/>
      <c r="L143" s="120"/>
      <c r="M143" s="120"/>
      <c r="N143" s="120"/>
      <c r="O143" s="120"/>
      <c r="P143" s="120"/>
      <c r="Q143" s="120"/>
    </row>
    <row r="144" spans="3:17" x14ac:dyDescent="0.25">
      <c r="C144" s="196"/>
      <c r="D144" s="197"/>
      <c r="E144" s="196"/>
      <c r="F144" s="120"/>
      <c r="G144" s="120"/>
      <c r="H144" s="120"/>
      <c r="I144" s="120"/>
      <c r="J144" s="120"/>
      <c r="K144" s="120"/>
      <c r="L144" s="120"/>
      <c r="M144" s="120"/>
      <c r="N144" s="120"/>
      <c r="O144" s="120"/>
      <c r="P144" s="120"/>
      <c r="Q144" s="120"/>
    </row>
    <row r="145" spans="3:17" x14ac:dyDescent="0.25">
      <c r="C145" s="196"/>
      <c r="D145" s="197"/>
      <c r="E145" s="196"/>
      <c r="F145" s="120"/>
      <c r="G145" s="120"/>
      <c r="H145" s="120"/>
      <c r="I145" s="120"/>
      <c r="J145" s="120"/>
      <c r="K145" s="120"/>
      <c r="L145" s="120"/>
      <c r="M145" s="120"/>
      <c r="N145" s="120"/>
      <c r="O145" s="120"/>
      <c r="P145" s="120"/>
      <c r="Q145" s="120"/>
    </row>
    <row r="146" spans="3:17" x14ac:dyDescent="0.25">
      <c r="C146" s="196"/>
      <c r="D146" s="197"/>
      <c r="E146" s="196"/>
      <c r="F146" s="120"/>
      <c r="G146" s="120"/>
      <c r="H146" s="120"/>
      <c r="I146" s="120"/>
      <c r="J146" s="120"/>
      <c r="K146" s="120"/>
      <c r="L146" s="120"/>
      <c r="M146" s="120"/>
      <c r="N146" s="120"/>
      <c r="O146" s="120"/>
      <c r="P146" s="120"/>
      <c r="Q146" s="120"/>
    </row>
    <row r="147" spans="3:17" x14ac:dyDescent="0.25">
      <c r="C147" s="196"/>
      <c r="D147" s="197"/>
      <c r="E147" s="196"/>
      <c r="F147" s="120"/>
      <c r="G147" s="120"/>
      <c r="H147" s="120"/>
      <c r="I147" s="120"/>
      <c r="J147" s="120"/>
      <c r="K147" s="120"/>
      <c r="L147" s="120"/>
      <c r="M147" s="120"/>
      <c r="N147" s="120"/>
      <c r="O147" s="120"/>
      <c r="P147" s="120"/>
      <c r="Q147" s="120"/>
    </row>
    <row r="148" spans="3:17" x14ac:dyDescent="0.25">
      <c r="C148" s="196"/>
      <c r="D148" s="197"/>
      <c r="E148" s="196"/>
      <c r="F148" s="120"/>
      <c r="G148" s="120"/>
      <c r="H148" s="120"/>
      <c r="I148" s="120"/>
      <c r="J148" s="120"/>
      <c r="K148" s="120"/>
      <c r="L148" s="120"/>
      <c r="M148" s="120"/>
      <c r="N148" s="120"/>
      <c r="O148" s="120"/>
      <c r="P148" s="120"/>
      <c r="Q148" s="120"/>
    </row>
    <row r="149" spans="3:17" x14ac:dyDescent="0.25">
      <c r="C149" s="196"/>
      <c r="D149" s="197"/>
      <c r="E149" s="196"/>
      <c r="F149" s="120"/>
      <c r="G149" s="120"/>
      <c r="H149" s="120"/>
      <c r="I149" s="120"/>
      <c r="J149" s="120"/>
      <c r="K149" s="120"/>
      <c r="L149" s="120"/>
      <c r="M149" s="120"/>
      <c r="N149" s="120"/>
      <c r="O149" s="120"/>
      <c r="P149" s="120"/>
      <c r="Q149" s="120"/>
    </row>
    <row r="150" spans="3:17" x14ac:dyDescent="0.25">
      <c r="C150" s="196"/>
      <c r="D150" s="197"/>
      <c r="E150" s="196"/>
      <c r="F150" s="120"/>
      <c r="G150" s="120"/>
      <c r="H150" s="120"/>
      <c r="I150" s="120"/>
      <c r="J150" s="120"/>
      <c r="K150" s="120"/>
      <c r="L150" s="120"/>
      <c r="M150" s="120"/>
      <c r="N150" s="120"/>
      <c r="O150" s="120"/>
      <c r="P150" s="120"/>
      <c r="Q150" s="120"/>
    </row>
    <row r="151" spans="3:17" x14ac:dyDescent="0.25">
      <c r="C151" s="196"/>
      <c r="D151" s="197"/>
      <c r="E151" s="196"/>
      <c r="F151" s="120"/>
      <c r="G151" s="120"/>
      <c r="H151" s="120"/>
      <c r="I151" s="120"/>
      <c r="J151" s="120"/>
      <c r="K151" s="120"/>
      <c r="L151" s="120"/>
      <c r="M151" s="120"/>
      <c r="N151" s="120"/>
      <c r="O151" s="120"/>
      <c r="P151" s="120"/>
      <c r="Q151" s="120"/>
    </row>
    <row r="152" spans="3:17" x14ac:dyDescent="0.25">
      <c r="C152" s="196"/>
      <c r="D152" s="197"/>
      <c r="E152" s="196"/>
      <c r="F152" s="120"/>
      <c r="G152" s="120"/>
      <c r="H152" s="120"/>
      <c r="I152" s="120"/>
      <c r="J152" s="120"/>
      <c r="K152" s="120"/>
      <c r="L152" s="120"/>
      <c r="M152" s="120"/>
      <c r="N152" s="120"/>
      <c r="O152" s="120"/>
      <c r="P152" s="120"/>
      <c r="Q152" s="120"/>
    </row>
    <row r="153" spans="3:17" x14ac:dyDescent="0.25">
      <c r="C153" s="196"/>
      <c r="D153" s="197"/>
      <c r="E153" s="196"/>
      <c r="F153" s="120"/>
      <c r="G153" s="120"/>
      <c r="H153" s="120"/>
      <c r="I153" s="120"/>
      <c r="J153" s="120"/>
      <c r="K153" s="120"/>
      <c r="L153" s="120"/>
      <c r="M153" s="120"/>
      <c r="N153" s="120"/>
      <c r="O153" s="120"/>
      <c r="P153" s="120"/>
      <c r="Q153" s="120"/>
    </row>
    <row r="154" spans="3:17" x14ac:dyDescent="0.25">
      <c r="C154" s="196"/>
      <c r="D154" s="197"/>
      <c r="E154" s="196"/>
      <c r="F154" s="120"/>
      <c r="G154" s="120"/>
      <c r="H154" s="120"/>
      <c r="I154" s="120"/>
      <c r="J154" s="120"/>
      <c r="K154" s="120"/>
      <c r="L154" s="120"/>
      <c r="M154" s="120"/>
      <c r="N154" s="120"/>
      <c r="O154" s="120"/>
      <c r="P154" s="120"/>
      <c r="Q154" s="120"/>
    </row>
    <row r="155" spans="3:17" x14ac:dyDescent="0.25">
      <c r="C155" s="196"/>
      <c r="D155" s="197"/>
      <c r="E155" s="196"/>
      <c r="F155" s="120"/>
      <c r="G155" s="120"/>
      <c r="H155" s="120"/>
      <c r="I155" s="120"/>
      <c r="J155" s="120"/>
      <c r="K155" s="120"/>
      <c r="L155" s="120"/>
      <c r="M155" s="120"/>
      <c r="N155" s="120"/>
      <c r="O155" s="120"/>
      <c r="P155" s="120"/>
      <c r="Q155" s="120"/>
    </row>
    <row r="156" spans="3:17" x14ac:dyDescent="0.25">
      <c r="C156" s="196"/>
      <c r="D156" s="197"/>
      <c r="E156" s="196"/>
      <c r="F156" s="120"/>
      <c r="G156" s="120"/>
      <c r="H156" s="120"/>
      <c r="I156" s="120"/>
      <c r="J156" s="120"/>
      <c r="K156" s="120"/>
      <c r="L156" s="120"/>
      <c r="M156" s="120"/>
      <c r="N156" s="120"/>
      <c r="O156" s="120"/>
      <c r="P156" s="120"/>
      <c r="Q156" s="120"/>
    </row>
    <row r="157" spans="3:17" x14ac:dyDescent="0.25">
      <c r="C157" s="196"/>
      <c r="D157" s="197"/>
      <c r="E157" s="196"/>
      <c r="F157" s="120"/>
      <c r="G157" s="120"/>
      <c r="H157" s="120"/>
      <c r="I157" s="120"/>
      <c r="J157" s="120"/>
      <c r="K157" s="120"/>
      <c r="L157" s="120"/>
      <c r="M157" s="120"/>
      <c r="N157" s="120"/>
      <c r="O157" s="120"/>
      <c r="P157" s="120"/>
      <c r="Q157" s="120"/>
    </row>
    <row r="158" spans="3:17" x14ac:dyDescent="0.25">
      <c r="C158" s="196"/>
      <c r="D158" s="197"/>
      <c r="E158" s="196"/>
      <c r="F158" s="120"/>
      <c r="G158" s="120"/>
      <c r="H158" s="120"/>
      <c r="I158" s="120"/>
      <c r="J158" s="120"/>
      <c r="K158" s="120"/>
      <c r="L158" s="120"/>
      <c r="M158" s="120"/>
      <c r="N158" s="120"/>
      <c r="O158" s="120"/>
      <c r="P158" s="120"/>
      <c r="Q158" s="120"/>
    </row>
    <row r="159" spans="3:17" x14ac:dyDescent="0.25">
      <c r="C159" s="196"/>
      <c r="D159" s="197"/>
      <c r="E159" s="196"/>
      <c r="F159" s="120"/>
      <c r="G159" s="120"/>
      <c r="H159" s="120"/>
      <c r="I159" s="120"/>
      <c r="J159" s="120"/>
      <c r="K159" s="120"/>
      <c r="L159" s="120"/>
      <c r="M159" s="120"/>
      <c r="N159" s="120"/>
      <c r="O159" s="120"/>
      <c r="P159" s="120"/>
      <c r="Q159" s="120"/>
    </row>
    <row r="160" spans="3:17" x14ac:dyDescent="0.25">
      <c r="C160" s="196"/>
      <c r="D160" s="197"/>
      <c r="E160" s="196"/>
      <c r="F160" s="120"/>
      <c r="G160" s="120"/>
      <c r="H160" s="120"/>
      <c r="I160" s="120"/>
      <c r="J160" s="120"/>
      <c r="K160" s="120"/>
      <c r="L160" s="120"/>
      <c r="M160" s="120"/>
      <c r="N160" s="120"/>
      <c r="O160" s="120"/>
      <c r="P160" s="120"/>
      <c r="Q160" s="120"/>
    </row>
    <row r="161" spans="3:17" x14ac:dyDescent="0.25">
      <c r="C161" s="196"/>
      <c r="D161" s="197"/>
      <c r="E161" s="196"/>
      <c r="F161" s="120"/>
      <c r="G161" s="120"/>
      <c r="H161" s="120"/>
      <c r="I161" s="120"/>
      <c r="J161" s="120"/>
      <c r="K161" s="120"/>
      <c r="L161" s="120"/>
      <c r="M161" s="120"/>
      <c r="N161" s="120"/>
      <c r="O161" s="120"/>
      <c r="P161" s="120"/>
      <c r="Q161" s="120"/>
    </row>
    <row r="162" spans="3:17" x14ac:dyDescent="0.25">
      <c r="C162" s="196"/>
      <c r="D162" s="197"/>
      <c r="E162" s="196"/>
      <c r="F162" s="120"/>
      <c r="G162" s="120"/>
      <c r="H162" s="120"/>
      <c r="I162" s="120"/>
      <c r="J162" s="120"/>
      <c r="K162" s="120"/>
      <c r="L162" s="120"/>
      <c r="M162" s="120"/>
      <c r="N162" s="120"/>
      <c r="O162" s="120"/>
      <c r="P162" s="120"/>
      <c r="Q162" s="120"/>
    </row>
    <row r="163" spans="3:17" x14ac:dyDescent="0.25">
      <c r="C163" s="196"/>
      <c r="D163" s="197"/>
      <c r="E163" s="196"/>
      <c r="F163" s="120"/>
      <c r="G163" s="120"/>
      <c r="H163" s="120"/>
      <c r="I163" s="120"/>
      <c r="J163" s="120"/>
      <c r="K163" s="120"/>
      <c r="L163" s="120"/>
      <c r="M163" s="120"/>
      <c r="N163" s="120"/>
      <c r="O163" s="120"/>
      <c r="P163" s="120"/>
      <c r="Q163" s="120"/>
    </row>
    <row r="164" spans="3:17" x14ac:dyDescent="0.25">
      <c r="C164" s="196"/>
      <c r="D164" s="197"/>
      <c r="E164" s="196"/>
      <c r="F164" s="120"/>
      <c r="G164" s="120"/>
      <c r="H164" s="120"/>
      <c r="I164" s="120"/>
      <c r="J164" s="120"/>
      <c r="K164" s="120"/>
      <c r="L164" s="120"/>
      <c r="M164" s="120"/>
      <c r="N164" s="120"/>
      <c r="O164" s="120"/>
      <c r="P164" s="120"/>
      <c r="Q164" s="120"/>
    </row>
    <row r="165" spans="3:17" x14ac:dyDescent="0.25">
      <c r="C165" s="196"/>
      <c r="D165" s="197"/>
      <c r="E165" s="196"/>
      <c r="F165" s="120"/>
      <c r="G165" s="120"/>
      <c r="H165" s="120"/>
      <c r="I165" s="120"/>
      <c r="J165" s="120"/>
      <c r="K165" s="120"/>
      <c r="L165" s="120"/>
      <c r="M165" s="120"/>
      <c r="N165" s="120"/>
      <c r="O165" s="120"/>
      <c r="P165" s="120"/>
      <c r="Q165" s="120"/>
    </row>
    <row r="166" spans="3:17" x14ac:dyDescent="0.25">
      <c r="C166" s="196"/>
      <c r="D166" s="197"/>
      <c r="E166" s="196"/>
      <c r="F166" s="120"/>
      <c r="G166" s="120"/>
      <c r="H166" s="120"/>
      <c r="I166" s="120"/>
      <c r="J166" s="120"/>
      <c r="K166" s="120"/>
      <c r="L166" s="120"/>
      <c r="M166" s="120"/>
      <c r="N166" s="120"/>
      <c r="O166" s="120"/>
      <c r="P166" s="120"/>
      <c r="Q166" s="120"/>
    </row>
    <row r="167" spans="3:17" x14ac:dyDescent="0.25">
      <c r="C167" s="196"/>
      <c r="D167" s="197"/>
      <c r="E167" s="196"/>
      <c r="F167" s="120"/>
      <c r="G167" s="120"/>
      <c r="H167" s="120"/>
      <c r="I167" s="120"/>
      <c r="J167" s="120"/>
      <c r="K167" s="120"/>
      <c r="L167" s="120"/>
      <c r="M167" s="120"/>
      <c r="N167" s="120"/>
      <c r="O167" s="120"/>
      <c r="P167" s="120"/>
      <c r="Q167" s="120"/>
    </row>
    <row r="168" spans="3:17" x14ac:dyDescent="0.25">
      <c r="C168" s="196"/>
      <c r="D168" s="197"/>
      <c r="E168" s="196"/>
      <c r="F168" s="120"/>
      <c r="G168" s="120"/>
      <c r="H168" s="120"/>
      <c r="I168" s="120"/>
      <c r="J168" s="120"/>
      <c r="K168" s="120"/>
      <c r="L168" s="120"/>
      <c r="M168" s="120"/>
      <c r="N168" s="120"/>
      <c r="O168" s="120"/>
      <c r="P168" s="120"/>
      <c r="Q168" s="120"/>
    </row>
    <row r="169" spans="3:17" x14ac:dyDescent="0.25">
      <c r="C169" s="196"/>
      <c r="D169" s="197"/>
      <c r="E169" s="196"/>
      <c r="F169" s="120"/>
      <c r="G169" s="120"/>
      <c r="H169" s="120"/>
      <c r="I169" s="120"/>
      <c r="J169" s="120"/>
      <c r="K169" s="120"/>
      <c r="L169" s="120"/>
      <c r="M169" s="120"/>
      <c r="N169" s="120"/>
      <c r="O169" s="120"/>
      <c r="P169" s="120"/>
      <c r="Q169" s="120"/>
    </row>
    <row r="170" spans="3:17" x14ac:dyDescent="0.25">
      <c r="C170" s="196"/>
      <c r="D170" s="197"/>
      <c r="E170" s="196"/>
      <c r="F170" s="120"/>
      <c r="G170" s="120"/>
      <c r="H170" s="120"/>
      <c r="I170" s="120"/>
      <c r="J170" s="120"/>
      <c r="K170" s="120"/>
      <c r="L170" s="120"/>
      <c r="M170" s="120"/>
      <c r="N170" s="120"/>
      <c r="O170" s="120"/>
      <c r="P170" s="120"/>
      <c r="Q170" s="120"/>
    </row>
    <row r="171" spans="3:17" x14ac:dyDescent="0.25">
      <c r="C171" s="196"/>
      <c r="D171" s="197"/>
      <c r="E171" s="196"/>
      <c r="F171" s="120"/>
      <c r="G171" s="120"/>
      <c r="H171" s="120"/>
      <c r="I171" s="120"/>
      <c r="J171" s="120"/>
      <c r="K171" s="120"/>
      <c r="L171" s="120"/>
      <c r="M171" s="120"/>
      <c r="N171" s="120"/>
      <c r="O171" s="120"/>
      <c r="P171" s="120"/>
      <c r="Q171" s="120"/>
    </row>
    <row r="172" spans="3:17" x14ac:dyDescent="0.25">
      <c r="C172" s="196"/>
      <c r="D172" s="197"/>
      <c r="E172" s="196"/>
      <c r="F172" s="120"/>
      <c r="G172" s="120"/>
      <c r="H172" s="120"/>
      <c r="I172" s="120"/>
      <c r="J172" s="120"/>
      <c r="K172" s="120"/>
      <c r="L172" s="120"/>
      <c r="M172" s="120"/>
      <c r="N172" s="120"/>
      <c r="O172" s="120"/>
      <c r="P172" s="120"/>
      <c r="Q172" s="120"/>
    </row>
    <row r="173" spans="3:17" x14ac:dyDescent="0.25">
      <c r="C173" s="196"/>
      <c r="D173" s="197"/>
      <c r="E173" s="196"/>
      <c r="F173" s="120"/>
      <c r="G173" s="120"/>
      <c r="H173" s="120"/>
      <c r="I173" s="120"/>
      <c r="J173" s="120"/>
      <c r="K173" s="120"/>
      <c r="L173" s="120"/>
      <c r="M173" s="120"/>
      <c r="N173" s="120"/>
      <c r="O173" s="120"/>
      <c r="P173" s="120"/>
      <c r="Q173" s="120"/>
    </row>
    <row r="174" spans="3:17" x14ac:dyDescent="0.25">
      <c r="C174" s="196"/>
      <c r="D174" s="197"/>
      <c r="E174" s="196"/>
      <c r="F174" s="120"/>
      <c r="G174" s="120"/>
      <c r="H174" s="120"/>
      <c r="I174" s="120"/>
      <c r="J174" s="120"/>
      <c r="K174" s="120"/>
      <c r="L174" s="120"/>
      <c r="M174" s="120"/>
      <c r="N174" s="120"/>
      <c r="O174" s="120"/>
      <c r="P174" s="120"/>
      <c r="Q174" s="120"/>
    </row>
    <row r="175" spans="3:17" x14ac:dyDescent="0.25">
      <c r="C175" s="196"/>
      <c r="D175" s="197"/>
      <c r="E175" s="196"/>
      <c r="F175" s="120"/>
      <c r="G175" s="120"/>
      <c r="H175" s="120"/>
      <c r="I175" s="120"/>
      <c r="J175" s="120"/>
      <c r="K175" s="120"/>
      <c r="L175" s="120"/>
      <c r="M175" s="120"/>
      <c r="N175" s="120"/>
      <c r="O175" s="120"/>
      <c r="P175" s="120"/>
      <c r="Q175" s="120"/>
    </row>
    <row r="176" spans="3:17" x14ac:dyDescent="0.25">
      <c r="C176" s="196"/>
      <c r="D176" s="197"/>
      <c r="E176" s="196"/>
      <c r="F176" s="120"/>
      <c r="G176" s="120"/>
      <c r="H176" s="120"/>
      <c r="I176" s="120"/>
      <c r="J176" s="120"/>
      <c r="K176" s="120"/>
      <c r="L176" s="120"/>
      <c r="M176" s="120"/>
      <c r="N176" s="120"/>
      <c r="O176" s="120"/>
      <c r="P176" s="120"/>
      <c r="Q176" s="120"/>
    </row>
    <row r="177" spans="3:17" x14ac:dyDescent="0.25">
      <c r="C177" s="196"/>
      <c r="D177" s="197"/>
      <c r="E177" s="196"/>
      <c r="F177" s="120"/>
      <c r="G177" s="120"/>
      <c r="H177" s="120"/>
      <c r="I177" s="120"/>
      <c r="J177" s="120"/>
      <c r="K177" s="120"/>
      <c r="L177" s="120"/>
      <c r="M177" s="120"/>
      <c r="N177" s="120"/>
      <c r="O177" s="120"/>
      <c r="P177" s="120"/>
      <c r="Q177" s="120"/>
    </row>
    <row r="178" spans="3:17" x14ac:dyDescent="0.25">
      <c r="C178" s="196"/>
      <c r="D178" s="197"/>
      <c r="E178" s="196"/>
      <c r="F178" s="120"/>
      <c r="G178" s="120"/>
      <c r="H178" s="120"/>
      <c r="I178" s="120"/>
      <c r="J178" s="120"/>
      <c r="K178" s="120"/>
      <c r="L178" s="120"/>
      <c r="M178" s="120"/>
      <c r="N178" s="120"/>
      <c r="O178" s="120"/>
      <c r="P178" s="120"/>
      <c r="Q178" s="120"/>
    </row>
    <row r="179" spans="3:17" x14ac:dyDescent="0.25">
      <c r="C179" s="196"/>
      <c r="D179" s="197"/>
      <c r="E179" s="196"/>
      <c r="F179" s="120"/>
      <c r="G179" s="120"/>
      <c r="H179" s="120"/>
      <c r="I179" s="120"/>
      <c r="J179" s="120"/>
      <c r="K179" s="120"/>
      <c r="L179" s="120"/>
      <c r="M179" s="120"/>
      <c r="N179" s="120"/>
      <c r="O179" s="120"/>
      <c r="P179" s="120"/>
      <c r="Q179" s="120"/>
    </row>
    <row r="180" spans="3:17" x14ac:dyDescent="0.25">
      <c r="C180" s="196"/>
      <c r="D180" s="197"/>
      <c r="E180" s="196"/>
      <c r="F180" s="120"/>
      <c r="G180" s="120"/>
      <c r="H180" s="120"/>
      <c r="I180" s="120"/>
      <c r="J180" s="120"/>
      <c r="K180" s="120"/>
      <c r="L180" s="120"/>
      <c r="M180" s="120"/>
      <c r="N180" s="120"/>
      <c r="O180" s="120"/>
      <c r="P180" s="120"/>
      <c r="Q180" s="120"/>
    </row>
    <row r="181" spans="3:17" x14ac:dyDescent="0.25">
      <c r="C181" s="196"/>
      <c r="D181" s="197"/>
      <c r="E181" s="196"/>
      <c r="F181" s="120"/>
      <c r="G181" s="120"/>
      <c r="H181" s="120"/>
      <c r="I181" s="120"/>
      <c r="J181" s="120"/>
      <c r="K181" s="120"/>
      <c r="L181" s="120"/>
      <c r="M181" s="120"/>
      <c r="N181" s="120"/>
      <c r="O181" s="120"/>
      <c r="P181" s="120"/>
      <c r="Q181" s="120"/>
    </row>
    <row r="182" spans="3:17" x14ac:dyDescent="0.25">
      <c r="C182" s="196"/>
      <c r="D182" s="197"/>
      <c r="E182" s="196"/>
      <c r="F182" s="120"/>
      <c r="G182" s="120"/>
      <c r="H182" s="120"/>
      <c r="I182" s="120"/>
      <c r="J182" s="120"/>
      <c r="K182" s="120"/>
      <c r="L182" s="120"/>
      <c r="M182" s="120"/>
      <c r="N182" s="120"/>
      <c r="O182" s="120"/>
      <c r="P182" s="120"/>
      <c r="Q182" s="120"/>
    </row>
    <row r="183" spans="3:17" x14ac:dyDescent="0.25">
      <c r="C183" s="196"/>
      <c r="D183" s="197"/>
      <c r="E183" s="196"/>
      <c r="F183" s="120"/>
      <c r="G183" s="120"/>
      <c r="H183" s="120"/>
      <c r="I183" s="120"/>
      <c r="J183" s="120"/>
      <c r="K183" s="120"/>
      <c r="L183" s="120"/>
      <c r="M183" s="120"/>
      <c r="N183" s="120"/>
      <c r="O183" s="120"/>
      <c r="P183" s="120"/>
      <c r="Q183" s="120"/>
    </row>
    <row r="184" spans="3:17" x14ac:dyDescent="0.25">
      <c r="C184" s="196"/>
      <c r="D184" s="197"/>
      <c r="E184" s="196"/>
      <c r="F184" s="120"/>
      <c r="G184" s="120"/>
      <c r="H184" s="120"/>
      <c r="I184" s="120"/>
      <c r="J184" s="120"/>
      <c r="K184" s="120"/>
      <c r="L184" s="120"/>
      <c r="M184" s="120"/>
      <c r="N184" s="120"/>
      <c r="O184" s="120"/>
      <c r="P184" s="120"/>
      <c r="Q184" s="120"/>
    </row>
    <row r="185" spans="3:17" x14ac:dyDescent="0.25">
      <c r="C185" s="196"/>
      <c r="D185" s="197"/>
      <c r="E185" s="196"/>
      <c r="F185" s="120"/>
      <c r="G185" s="120"/>
      <c r="H185" s="120"/>
      <c r="I185" s="120"/>
      <c r="J185" s="120"/>
      <c r="K185" s="120"/>
      <c r="L185" s="120"/>
      <c r="M185" s="120"/>
      <c r="N185" s="120"/>
      <c r="O185" s="120"/>
      <c r="P185" s="120"/>
      <c r="Q185" s="120"/>
    </row>
    <row r="186" spans="3:17" x14ac:dyDescent="0.25">
      <c r="C186" s="196"/>
      <c r="D186" s="197"/>
      <c r="E186" s="196"/>
      <c r="F186" s="120"/>
      <c r="G186" s="120"/>
      <c r="H186" s="120"/>
      <c r="I186" s="120"/>
      <c r="J186" s="120"/>
      <c r="K186" s="120"/>
      <c r="L186" s="120"/>
      <c r="M186" s="120"/>
      <c r="N186" s="120"/>
      <c r="O186" s="120"/>
      <c r="P186" s="120"/>
      <c r="Q186" s="120"/>
    </row>
    <row r="187" spans="3:17" x14ac:dyDescent="0.25">
      <c r="C187" s="196"/>
      <c r="D187" s="197"/>
      <c r="E187" s="196"/>
      <c r="F187" s="120"/>
      <c r="G187" s="120"/>
      <c r="H187" s="120"/>
      <c r="I187" s="120"/>
      <c r="J187" s="120"/>
      <c r="K187" s="120"/>
      <c r="L187" s="120"/>
      <c r="M187" s="120"/>
      <c r="N187" s="120"/>
      <c r="O187" s="120"/>
      <c r="P187" s="120"/>
      <c r="Q187" s="120"/>
    </row>
    <row r="188" spans="3:17" x14ac:dyDescent="0.25">
      <c r="C188" s="196"/>
      <c r="D188" s="197"/>
      <c r="E188" s="196"/>
      <c r="F188" s="120"/>
      <c r="G188" s="120"/>
      <c r="H188" s="120"/>
      <c r="I188" s="120"/>
      <c r="J188" s="120"/>
      <c r="K188" s="120"/>
      <c r="L188" s="120"/>
      <c r="M188" s="120"/>
      <c r="N188" s="120"/>
      <c r="O188" s="120"/>
      <c r="P188" s="120"/>
      <c r="Q188" s="120"/>
    </row>
    <row r="189" spans="3:17" x14ac:dyDescent="0.25">
      <c r="C189" s="109"/>
      <c r="D189" s="198"/>
      <c r="E189" s="109"/>
      <c r="F189" s="160"/>
      <c r="G189" s="160"/>
      <c r="H189" s="160"/>
      <c r="I189" s="160"/>
      <c r="J189" s="160"/>
      <c r="K189" s="160"/>
      <c r="L189" s="160"/>
      <c r="M189" s="160"/>
      <c r="N189" s="160"/>
      <c r="O189" s="160"/>
      <c r="P189" s="160"/>
      <c r="Q189" s="160"/>
    </row>
    <row r="190" spans="3:17" x14ac:dyDescent="0.25">
      <c r="C190" s="196"/>
      <c r="D190" s="197"/>
      <c r="E190" s="196"/>
      <c r="F190" s="120"/>
      <c r="G190" s="120"/>
      <c r="H190" s="120"/>
      <c r="I190" s="120"/>
      <c r="J190" s="120"/>
      <c r="K190" s="120"/>
      <c r="L190" s="120"/>
      <c r="M190" s="120"/>
      <c r="N190" s="120"/>
      <c r="O190" s="120"/>
      <c r="P190" s="120"/>
      <c r="Q190" s="120"/>
    </row>
    <row r="191" spans="3:17" x14ac:dyDescent="0.25">
      <c r="C191" s="196"/>
      <c r="D191" s="197"/>
      <c r="E191" s="196"/>
      <c r="F191" s="120"/>
      <c r="G191" s="120"/>
      <c r="H191" s="120"/>
      <c r="I191" s="120"/>
      <c r="J191" s="120"/>
      <c r="K191" s="120"/>
      <c r="L191" s="120"/>
      <c r="M191" s="120"/>
      <c r="N191" s="120"/>
      <c r="O191" s="120"/>
      <c r="P191" s="120"/>
      <c r="Q191" s="120"/>
    </row>
    <row r="192" spans="3:17" x14ac:dyDescent="0.25">
      <c r="C192" s="196"/>
      <c r="D192" s="197"/>
      <c r="E192" s="196"/>
      <c r="F192" s="120"/>
      <c r="G192" s="120"/>
      <c r="H192" s="120"/>
      <c r="I192" s="120"/>
      <c r="J192" s="120"/>
      <c r="K192" s="120"/>
      <c r="L192" s="120"/>
      <c r="M192" s="120"/>
      <c r="N192" s="120"/>
      <c r="O192" s="120"/>
      <c r="P192" s="120"/>
      <c r="Q192" s="120"/>
    </row>
    <row r="193" spans="3:17" x14ac:dyDescent="0.25">
      <c r="C193" s="196"/>
      <c r="D193" s="197"/>
      <c r="E193" s="196"/>
      <c r="F193" s="120"/>
      <c r="G193" s="120"/>
      <c r="H193" s="120"/>
      <c r="I193" s="120"/>
      <c r="J193" s="120"/>
      <c r="K193" s="120"/>
      <c r="L193" s="120"/>
      <c r="M193" s="120"/>
      <c r="N193" s="120"/>
      <c r="O193" s="120"/>
      <c r="P193" s="120"/>
      <c r="Q193" s="120"/>
    </row>
    <row r="194" spans="3:17" x14ac:dyDescent="0.25">
      <c r="C194" s="196"/>
      <c r="D194" s="197"/>
      <c r="E194" s="196"/>
      <c r="F194" s="120"/>
      <c r="G194" s="120"/>
      <c r="H194" s="120"/>
      <c r="I194" s="120"/>
      <c r="J194" s="120"/>
      <c r="K194" s="120"/>
      <c r="L194" s="120"/>
      <c r="M194" s="120"/>
      <c r="N194" s="120"/>
      <c r="O194" s="120"/>
      <c r="P194" s="120"/>
      <c r="Q194" s="120"/>
    </row>
    <row r="195" spans="3:17" x14ac:dyDescent="0.25">
      <c r="C195" s="196"/>
      <c r="D195" s="197"/>
      <c r="E195" s="196"/>
      <c r="F195" s="120"/>
      <c r="G195" s="120"/>
      <c r="H195" s="120"/>
      <c r="I195" s="120"/>
      <c r="J195" s="120"/>
      <c r="K195" s="120"/>
      <c r="L195" s="120"/>
      <c r="M195" s="120"/>
      <c r="N195" s="120"/>
      <c r="O195" s="120"/>
      <c r="P195" s="120"/>
      <c r="Q195" s="120"/>
    </row>
    <row r="196" spans="3:17" x14ac:dyDescent="0.25">
      <c r="C196" s="196"/>
      <c r="D196" s="197"/>
      <c r="E196" s="196"/>
      <c r="F196" s="120"/>
      <c r="G196" s="120"/>
      <c r="H196" s="120"/>
      <c r="I196" s="120"/>
      <c r="J196" s="120"/>
      <c r="K196" s="120"/>
      <c r="L196" s="120"/>
      <c r="M196" s="120"/>
      <c r="N196" s="120"/>
      <c r="O196" s="120"/>
      <c r="P196" s="120"/>
      <c r="Q196" s="120"/>
    </row>
    <row r="197" spans="3:17" x14ac:dyDescent="0.25">
      <c r="C197" s="196"/>
      <c r="D197" s="197"/>
      <c r="E197" s="196"/>
      <c r="F197" s="120"/>
      <c r="G197" s="120"/>
      <c r="H197" s="120"/>
      <c r="I197" s="120"/>
      <c r="J197" s="120"/>
      <c r="K197" s="120"/>
      <c r="L197" s="120"/>
      <c r="M197" s="120"/>
      <c r="N197" s="120"/>
      <c r="O197" s="120"/>
      <c r="P197" s="120"/>
      <c r="Q197" s="120"/>
    </row>
    <row r="198" spans="3:17" x14ac:dyDescent="0.25">
      <c r="C198" s="196"/>
      <c r="D198" s="197"/>
      <c r="E198" s="196"/>
      <c r="F198" s="120"/>
      <c r="G198" s="120"/>
      <c r="H198" s="120"/>
      <c r="I198" s="120"/>
      <c r="J198" s="120"/>
      <c r="K198" s="120"/>
      <c r="L198" s="120"/>
      <c r="M198" s="120"/>
      <c r="N198" s="120"/>
      <c r="O198" s="120"/>
      <c r="P198" s="120"/>
      <c r="Q198" s="120"/>
    </row>
    <row r="199" spans="3:17" x14ac:dyDescent="0.25">
      <c r="C199" s="196"/>
      <c r="D199" s="197"/>
      <c r="E199" s="196"/>
      <c r="F199" s="120"/>
      <c r="G199" s="120"/>
      <c r="H199" s="120"/>
      <c r="I199" s="120"/>
      <c r="J199" s="120"/>
      <c r="K199" s="120"/>
      <c r="L199" s="120"/>
      <c r="M199" s="120"/>
      <c r="N199" s="120"/>
      <c r="O199" s="120"/>
      <c r="P199" s="120"/>
      <c r="Q199" s="120"/>
    </row>
    <row r="200" spans="3:17" x14ac:dyDescent="0.25">
      <c r="C200" s="196"/>
      <c r="D200" s="197"/>
      <c r="E200" s="196"/>
      <c r="F200" s="120"/>
      <c r="G200" s="120"/>
      <c r="H200" s="120"/>
      <c r="I200" s="120"/>
      <c r="J200" s="120"/>
      <c r="K200" s="120"/>
      <c r="L200" s="120"/>
      <c r="M200" s="120"/>
      <c r="N200" s="120"/>
      <c r="O200" s="120"/>
      <c r="P200" s="120"/>
      <c r="Q200" s="120"/>
    </row>
    <row r="201" spans="3:17" x14ac:dyDescent="0.25">
      <c r="C201" s="196"/>
      <c r="D201" s="197"/>
      <c r="E201" s="196"/>
      <c r="F201" s="120"/>
      <c r="G201" s="120"/>
      <c r="H201" s="120"/>
      <c r="I201" s="120"/>
      <c r="J201" s="120"/>
      <c r="K201" s="120"/>
      <c r="L201" s="120"/>
      <c r="M201" s="120"/>
      <c r="N201" s="120"/>
      <c r="O201" s="120"/>
      <c r="P201" s="120"/>
      <c r="Q201" s="120"/>
    </row>
    <row r="202" spans="3:17" x14ac:dyDescent="0.25">
      <c r="C202" s="196"/>
      <c r="D202" s="197"/>
      <c r="E202" s="196"/>
      <c r="F202" s="120"/>
      <c r="G202" s="120"/>
      <c r="H202" s="120"/>
      <c r="I202" s="120"/>
      <c r="J202" s="120"/>
      <c r="K202" s="120"/>
      <c r="L202" s="120"/>
      <c r="M202" s="120"/>
      <c r="N202" s="120"/>
      <c r="O202" s="120"/>
      <c r="P202" s="120"/>
      <c r="Q202" s="120"/>
    </row>
    <row r="203" spans="3:17" x14ac:dyDescent="0.25">
      <c r="C203" s="196"/>
      <c r="D203" s="197"/>
      <c r="E203" s="196"/>
      <c r="F203" s="120"/>
      <c r="G203" s="120"/>
      <c r="H203" s="120"/>
      <c r="I203" s="120"/>
      <c r="J203" s="120"/>
      <c r="K203" s="120"/>
      <c r="L203" s="120"/>
      <c r="M203" s="120"/>
      <c r="N203" s="120"/>
      <c r="O203" s="120"/>
      <c r="P203" s="120"/>
      <c r="Q203" s="120"/>
    </row>
    <row r="204" spans="3:17" x14ac:dyDescent="0.25">
      <c r="C204" s="196"/>
      <c r="D204" s="197"/>
      <c r="E204" s="196"/>
      <c r="F204" s="120"/>
      <c r="G204" s="120"/>
      <c r="H204" s="120"/>
      <c r="I204" s="120"/>
      <c r="J204" s="120"/>
      <c r="K204" s="120"/>
      <c r="L204" s="120"/>
      <c r="M204" s="120"/>
      <c r="N204" s="120"/>
      <c r="O204" s="120"/>
      <c r="P204" s="120"/>
      <c r="Q204" s="120"/>
    </row>
    <row r="205" spans="3:17" x14ac:dyDescent="0.25">
      <c r="C205" s="196"/>
      <c r="D205" s="197"/>
      <c r="E205" s="196"/>
      <c r="F205" s="120"/>
      <c r="G205" s="120"/>
      <c r="H205" s="120"/>
      <c r="I205" s="120"/>
      <c r="J205" s="120"/>
      <c r="K205" s="120"/>
      <c r="L205" s="120"/>
      <c r="M205" s="120"/>
      <c r="N205" s="120"/>
      <c r="O205" s="120"/>
      <c r="P205" s="120"/>
      <c r="Q205" s="120"/>
    </row>
    <row r="206" spans="3:17" x14ac:dyDescent="0.25">
      <c r="C206" s="196"/>
      <c r="D206" s="197"/>
      <c r="E206" s="196"/>
      <c r="F206" s="120"/>
      <c r="G206" s="120"/>
      <c r="H206" s="120"/>
      <c r="I206" s="120"/>
      <c r="J206" s="120"/>
      <c r="K206" s="120"/>
      <c r="L206" s="120"/>
      <c r="M206" s="120"/>
      <c r="N206" s="120"/>
      <c r="O206" s="120"/>
      <c r="P206" s="120"/>
      <c r="Q206" s="120"/>
    </row>
    <row r="207" spans="3:17" x14ac:dyDescent="0.25">
      <c r="C207" s="196"/>
      <c r="D207" s="197"/>
      <c r="E207" s="196"/>
      <c r="F207" s="120"/>
      <c r="G207" s="120"/>
      <c r="H207" s="120"/>
      <c r="I207" s="120"/>
      <c r="J207" s="120"/>
      <c r="K207" s="120"/>
      <c r="L207" s="120"/>
      <c r="M207" s="120"/>
      <c r="N207" s="120"/>
      <c r="O207" s="120"/>
      <c r="P207" s="120"/>
      <c r="Q207" s="120"/>
    </row>
    <row r="208" spans="3:17" x14ac:dyDescent="0.25">
      <c r="C208" s="196"/>
      <c r="D208" s="197"/>
      <c r="E208" s="196"/>
      <c r="F208" s="120"/>
      <c r="G208" s="120"/>
      <c r="H208" s="120"/>
      <c r="I208" s="120"/>
      <c r="J208" s="120"/>
      <c r="K208" s="120"/>
      <c r="L208" s="120"/>
      <c r="M208" s="120"/>
      <c r="N208" s="120"/>
      <c r="O208" s="120"/>
      <c r="P208" s="120"/>
      <c r="Q208" s="120"/>
    </row>
    <row r="209" spans="3:17" x14ac:dyDescent="0.25">
      <c r="C209" s="196"/>
      <c r="D209" s="197"/>
      <c r="E209" s="196"/>
      <c r="F209" s="120"/>
      <c r="G209" s="120"/>
      <c r="H209" s="120"/>
      <c r="I209" s="120"/>
      <c r="J209" s="120"/>
      <c r="K209" s="120"/>
      <c r="L209" s="120"/>
      <c r="M209" s="120"/>
      <c r="N209" s="120"/>
      <c r="O209" s="120"/>
      <c r="P209" s="120"/>
      <c r="Q209" s="120"/>
    </row>
    <row r="210" spans="3:17" x14ac:dyDescent="0.25">
      <c r="C210" s="196"/>
      <c r="D210" s="197"/>
      <c r="E210" s="196"/>
      <c r="F210" s="120"/>
      <c r="G210" s="120"/>
      <c r="H210" s="120"/>
      <c r="I210" s="120"/>
      <c r="J210" s="120"/>
      <c r="K210" s="120"/>
      <c r="L210" s="120"/>
      <c r="M210" s="120"/>
      <c r="N210" s="120"/>
      <c r="O210" s="120"/>
      <c r="P210" s="120"/>
      <c r="Q210" s="120"/>
    </row>
    <row r="211" spans="3:17" x14ac:dyDescent="0.25">
      <c r="C211" s="196"/>
      <c r="D211" s="197"/>
      <c r="E211" s="196"/>
      <c r="F211" s="120"/>
      <c r="G211" s="120"/>
      <c r="H211" s="120"/>
      <c r="I211" s="120"/>
      <c r="J211" s="120"/>
      <c r="K211" s="120"/>
      <c r="L211" s="120"/>
      <c r="M211" s="120"/>
      <c r="N211" s="120"/>
      <c r="O211" s="120"/>
      <c r="P211" s="120"/>
      <c r="Q211" s="120"/>
    </row>
    <row r="212" spans="3:17" x14ac:dyDescent="0.25">
      <c r="C212" s="196"/>
      <c r="D212" s="197"/>
      <c r="E212" s="196"/>
      <c r="F212" s="120"/>
      <c r="G212" s="120"/>
      <c r="H212" s="120"/>
      <c r="I212" s="120"/>
      <c r="J212" s="120"/>
      <c r="K212" s="120"/>
      <c r="L212" s="120"/>
      <c r="M212" s="120"/>
      <c r="N212" s="120"/>
      <c r="O212" s="120"/>
      <c r="P212" s="120"/>
      <c r="Q212" s="120"/>
    </row>
    <row r="213" spans="3:17" x14ac:dyDescent="0.25">
      <c r="C213" s="196"/>
      <c r="D213" s="197"/>
      <c r="E213" s="196"/>
      <c r="F213" s="120"/>
      <c r="G213" s="120"/>
      <c r="H213" s="120"/>
      <c r="I213" s="120"/>
      <c r="J213" s="120"/>
      <c r="K213" s="120"/>
      <c r="L213" s="120"/>
      <c r="M213" s="120"/>
      <c r="N213" s="120"/>
      <c r="O213" s="120"/>
      <c r="P213" s="120"/>
      <c r="Q213" s="120"/>
    </row>
    <row r="214" spans="3:17" x14ac:dyDescent="0.25">
      <c r="C214" s="196"/>
      <c r="D214" s="197"/>
      <c r="E214" s="196"/>
      <c r="F214" s="120"/>
      <c r="G214" s="120"/>
      <c r="H214" s="120"/>
      <c r="I214" s="120"/>
      <c r="J214" s="120"/>
      <c r="K214" s="120"/>
      <c r="L214" s="120"/>
      <c r="M214" s="120"/>
      <c r="N214" s="120"/>
      <c r="O214" s="120"/>
      <c r="P214" s="120"/>
      <c r="Q214" s="120"/>
    </row>
    <row r="215" spans="3:17" x14ac:dyDescent="0.25">
      <c r="C215" s="196"/>
      <c r="D215" s="197"/>
      <c r="E215" s="196"/>
      <c r="F215" s="120"/>
      <c r="G215" s="120"/>
      <c r="H215" s="120"/>
      <c r="I215" s="120"/>
      <c r="J215" s="120"/>
      <c r="K215" s="120"/>
      <c r="L215" s="120"/>
      <c r="M215" s="120"/>
      <c r="N215" s="120"/>
      <c r="O215" s="120"/>
      <c r="P215" s="120"/>
      <c r="Q215" s="120"/>
    </row>
    <row r="216" spans="3:17" x14ac:dyDescent="0.25">
      <c r="C216" s="196"/>
      <c r="D216" s="197"/>
      <c r="E216" s="196"/>
      <c r="F216" s="120"/>
      <c r="G216" s="120"/>
      <c r="H216" s="120"/>
      <c r="I216" s="120"/>
      <c r="J216" s="120"/>
      <c r="K216" s="120"/>
      <c r="L216" s="120"/>
      <c r="M216" s="120"/>
      <c r="N216" s="120"/>
      <c r="O216" s="120"/>
      <c r="P216" s="120"/>
      <c r="Q216" s="120"/>
    </row>
    <row r="217" spans="3:17" x14ac:dyDescent="0.25">
      <c r="C217" s="196"/>
      <c r="D217" s="197"/>
      <c r="E217" s="196"/>
      <c r="F217" s="120"/>
      <c r="G217" s="120"/>
      <c r="H217" s="120"/>
      <c r="I217" s="120"/>
      <c r="J217" s="120"/>
      <c r="K217" s="120"/>
      <c r="L217" s="120"/>
      <c r="M217" s="120"/>
      <c r="N217" s="120"/>
      <c r="O217" s="120"/>
      <c r="P217" s="120"/>
      <c r="Q217" s="120"/>
    </row>
    <row r="218" spans="3:17" x14ac:dyDescent="0.25">
      <c r="C218" s="196"/>
      <c r="D218" s="197"/>
      <c r="E218" s="196"/>
      <c r="F218" s="120"/>
      <c r="G218" s="120"/>
      <c r="H218" s="120"/>
      <c r="I218" s="120"/>
      <c r="J218" s="120"/>
      <c r="K218" s="120"/>
      <c r="L218" s="120"/>
      <c r="M218" s="120"/>
      <c r="N218" s="120"/>
      <c r="O218" s="120"/>
      <c r="P218" s="120"/>
      <c r="Q218" s="120"/>
    </row>
    <row r="219" spans="3:17" x14ac:dyDescent="0.25">
      <c r="C219" s="196"/>
      <c r="D219" s="197"/>
      <c r="E219" s="196"/>
      <c r="F219" s="120"/>
      <c r="G219" s="120"/>
      <c r="H219" s="120"/>
      <c r="I219" s="120"/>
      <c r="J219" s="120"/>
      <c r="K219" s="120"/>
      <c r="L219" s="120"/>
      <c r="M219" s="120"/>
      <c r="N219" s="120"/>
      <c r="O219" s="120"/>
      <c r="P219" s="120"/>
      <c r="Q219" s="120"/>
    </row>
    <row r="220" spans="3:17" x14ac:dyDescent="0.25">
      <c r="C220" s="196"/>
      <c r="D220" s="197"/>
      <c r="E220" s="196"/>
      <c r="F220" s="120"/>
      <c r="G220" s="120"/>
      <c r="H220" s="120"/>
      <c r="I220" s="120"/>
      <c r="J220" s="120"/>
      <c r="K220" s="120"/>
      <c r="L220" s="120"/>
      <c r="M220" s="120"/>
      <c r="N220" s="120"/>
      <c r="O220" s="120"/>
      <c r="P220" s="120"/>
      <c r="Q220" s="120"/>
    </row>
    <row r="221" spans="3:17" x14ac:dyDescent="0.25">
      <c r="C221" s="196"/>
      <c r="D221" s="197"/>
      <c r="E221" s="196"/>
      <c r="F221" s="120"/>
      <c r="G221" s="120"/>
      <c r="H221" s="120"/>
      <c r="I221" s="120"/>
      <c r="J221" s="120"/>
      <c r="K221" s="120"/>
      <c r="L221" s="120"/>
      <c r="M221" s="120"/>
      <c r="N221" s="120"/>
      <c r="O221" s="120"/>
      <c r="P221" s="120"/>
      <c r="Q221" s="120"/>
    </row>
    <row r="222" spans="3:17" x14ac:dyDescent="0.25">
      <c r="C222" s="196"/>
      <c r="D222" s="197"/>
      <c r="E222" s="196"/>
      <c r="F222" s="120"/>
      <c r="G222" s="120"/>
      <c r="H222" s="120"/>
      <c r="I222" s="120"/>
      <c r="J222" s="120"/>
      <c r="K222" s="120"/>
      <c r="L222" s="120"/>
      <c r="M222" s="120"/>
      <c r="N222" s="120"/>
      <c r="O222" s="120"/>
      <c r="P222" s="120"/>
      <c r="Q222" s="120"/>
    </row>
    <row r="223" spans="3:17" x14ac:dyDescent="0.25">
      <c r="C223" s="196"/>
      <c r="D223" s="197"/>
      <c r="E223" s="196"/>
      <c r="F223" s="120"/>
      <c r="G223" s="120"/>
      <c r="H223" s="120"/>
      <c r="I223" s="120"/>
      <c r="J223" s="120"/>
      <c r="K223" s="120"/>
      <c r="L223" s="120"/>
      <c r="M223" s="120"/>
      <c r="N223" s="120"/>
      <c r="O223" s="120"/>
      <c r="P223" s="120"/>
      <c r="Q223" s="120"/>
    </row>
    <row r="224" spans="3:17" x14ac:dyDescent="0.25">
      <c r="C224" s="196"/>
      <c r="D224" s="197"/>
      <c r="E224" s="196"/>
      <c r="F224" s="120"/>
      <c r="G224" s="120"/>
      <c r="H224" s="120"/>
      <c r="I224" s="120"/>
      <c r="J224" s="120"/>
      <c r="K224" s="120"/>
      <c r="L224" s="120"/>
      <c r="M224" s="120"/>
      <c r="N224" s="120"/>
      <c r="O224" s="120"/>
      <c r="P224" s="120"/>
      <c r="Q224" s="120"/>
    </row>
    <row r="225" spans="3:17" x14ac:dyDescent="0.25">
      <c r="C225" s="196"/>
      <c r="D225" s="197"/>
      <c r="E225" s="196"/>
      <c r="F225" s="120"/>
      <c r="G225" s="120"/>
      <c r="H225" s="120"/>
      <c r="I225" s="120"/>
      <c r="J225" s="120"/>
      <c r="K225" s="120"/>
      <c r="L225" s="120"/>
      <c r="M225" s="120"/>
      <c r="N225" s="120"/>
      <c r="O225" s="120"/>
      <c r="P225" s="120"/>
      <c r="Q225" s="120"/>
    </row>
    <row r="226" spans="3:17" x14ac:dyDescent="0.25">
      <c r="C226" s="196"/>
      <c r="D226" s="197"/>
      <c r="E226" s="196"/>
      <c r="F226" s="120"/>
      <c r="G226" s="120"/>
      <c r="H226" s="120"/>
      <c r="I226" s="120"/>
      <c r="J226" s="120"/>
      <c r="K226" s="120"/>
      <c r="L226" s="120"/>
      <c r="M226" s="120"/>
      <c r="N226" s="120"/>
      <c r="O226" s="120"/>
      <c r="P226" s="120"/>
      <c r="Q226" s="120"/>
    </row>
    <row r="227" spans="3:17" x14ac:dyDescent="0.25">
      <c r="C227" s="196"/>
      <c r="D227" s="197"/>
      <c r="E227" s="196"/>
      <c r="F227" s="120"/>
      <c r="G227" s="120"/>
      <c r="H227" s="120"/>
      <c r="I227" s="120"/>
      <c r="J227" s="120"/>
      <c r="K227" s="120"/>
      <c r="L227" s="120"/>
      <c r="M227" s="120"/>
      <c r="N227" s="120"/>
      <c r="O227" s="120"/>
      <c r="P227" s="120"/>
      <c r="Q227" s="120"/>
    </row>
    <row r="228" spans="3:17" x14ac:dyDescent="0.25">
      <c r="C228" s="196"/>
      <c r="D228" s="197"/>
      <c r="E228" s="196"/>
      <c r="F228" s="120"/>
      <c r="G228" s="120"/>
      <c r="H228" s="120"/>
      <c r="I228" s="120"/>
      <c r="J228" s="120"/>
      <c r="K228" s="120"/>
      <c r="L228" s="120"/>
      <c r="M228" s="120"/>
      <c r="N228" s="120"/>
      <c r="O228" s="120"/>
      <c r="P228" s="120"/>
      <c r="Q228" s="120"/>
    </row>
    <row r="229" spans="3:17" x14ac:dyDescent="0.25">
      <c r="C229" s="196"/>
      <c r="D229" s="197"/>
      <c r="E229" s="196"/>
      <c r="F229" s="120"/>
      <c r="G229" s="120"/>
      <c r="H229" s="120"/>
      <c r="I229" s="120"/>
      <c r="J229" s="120"/>
      <c r="K229" s="120"/>
      <c r="L229" s="120"/>
      <c r="M229" s="120"/>
      <c r="N229" s="120"/>
      <c r="O229" s="120"/>
      <c r="P229" s="120"/>
      <c r="Q229" s="120"/>
    </row>
    <row r="230" spans="3:17" x14ac:dyDescent="0.25">
      <c r="C230" s="196"/>
      <c r="D230" s="197"/>
      <c r="E230" s="196"/>
      <c r="F230" s="120"/>
      <c r="G230" s="120"/>
      <c r="H230" s="120"/>
      <c r="I230" s="120"/>
      <c r="J230" s="120"/>
      <c r="K230" s="120"/>
      <c r="L230" s="120"/>
      <c r="M230" s="120"/>
      <c r="N230" s="120"/>
      <c r="O230" s="120"/>
      <c r="P230" s="120"/>
      <c r="Q230" s="120"/>
    </row>
    <row r="231" spans="3:17" x14ac:dyDescent="0.25">
      <c r="C231" s="196"/>
      <c r="D231" s="197"/>
      <c r="E231" s="196"/>
      <c r="F231" s="120"/>
      <c r="G231" s="120"/>
      <c r="H231" s="120"/>
      <c r="I231" s="120"/>
      <c r="J231" s="120"/>
      <c r="K231" s="120"/>
      <c r="L231" s="120"/>
      <c r="M231" s="120"/>
      <c r="N231" s="120"/>
      <c r="O231" s="120"/>
      <c r="P231" s="120"/>
      <c r="Q231" s="120"/>
    </row>
    <row r="232" spans="3:17" x14ac:dyDescent="0.25">
      <c r="C232" s="196"/>
      <c r="D232" s="197"/>
      <c r="E232" s="196"/>
      <c r="F232" s="120"/>
      <c r="G232" s="120"/>
      <c r="H232" s="120"/>
      <c r="I232" s="120"/>
      <c r="J232" s="120"/>
      <c r="K232" s="120"/>
      <c r="L232" s="120"/>
      <c r="M232" s="120"/>
      <c r="N232" s="120"/>
      <c r="O232" s="120"/>
      <c r="P232" s="120"/>
      <c r="Q232" s="120"/>
    </row>
    <row r="233" spans="3:17" x14ac:dyDescent="0.25">
      <c r="C233" s="196"/>
      <c r="D233" s="197"/>
      <c r="E233" s="196"/>
      <c r="F233" s="120"/>
      <c r="G233" s="120"/>
      <c r="H233" s="120"/>
      <c r="I233" s="120"/>
      <c r="J233" s="120"/>
      <c r="K233" s="120"/>
      <c r="L233" s="120"/>
      <c r="M233" s="120"/>
      <c r="N233" s="120"/>
      <c r="O233" s="120"/>
      <c r="P233" s="120"/>
      <c r="Q233" s="120"/>
    </row>
    <row r="234" spans="3:17" x14ac:dyDescent="0.25">
      <c r="C234" s="196"/>
      <c r="D234" s="197"/>
      <c r="E234" s="196"/>
      <c r="F234" s="120"/>
      <c r="G234" s="120"/>
      <c r="H234" s="120"/>
      <c r="I234" s="120"/>
      <c r="J234" s="120"/>
      <c r="K234" s="120"/>
      <c r="L234" s="120"/>
      <c r="M234" s="120"/>
      <c r="N234" s="120"/>
      <c r="O234" s="120"/>
      <c r="P234" s="120"/>
      <c r="Q234" s="120"/>
    </row>
    <row r="235" spans="3:17" x14ac:dyDescent="0.25">
      <c r="C235" s="196"/>
      <c r="D235" s="197"/>
      <c r="E235" s="196"/>
      <c r="F235" s="120"/>
      <c r="G235" s="120"/>
      <c r="H235" s="120"/>
      <c r="I235" s="120"/>
      <c r="J235" s="120"/>
      <c r="K235" s="120"/>
      <c r="L235" s="120"/>
      <c r="M235" s="120"/>
      <c r="N235" s="120"/>
      <c r="O235" s="120"/>
      <c r="P235" s="120"/>
      <c r="Q235" s="120"/>
    </row>
    <row r="236" spans="3:17" x14ac:dyDescent="0.25">
      <c r="C236" s="196"/>
      <c r="D236" s="197"/>
      <c r="E236" s="196"/>
      <c r="F236" s="120"/>
      <c r="G236" s="120"/>
      <c r="H236" s="120"/>
      <c r="I236" s="120"/>
      <c r="J236" s="120"/>
      <c r="K236" s="120"/>
      <c r="L236" s="120"/>
      <c r="M236" s="120"/>
      <c r="N236" s="120"/>
      <c r="O236" s="120"/>
      <c r="P236" s="120"/>
      <c r="Q236" s="120"/>
    </row>
    <row r="237" spans="3:17" x14ac:dyDescent="0.25">
      <c r="C237" s="196"/>
      <c r="D237" s="197"/>
      <c r="E237" s="196"/>
      <c r="F237" s="120"/>
      <c r="G237" s="120"/>
      <c r="H237" s="120"/>
      <c r="I237" s="120"/>
      <c r="J237" s="120"/>
      <c r="K237" s="120"/>
      <c r="L237" s="120"/>
      <c r="M237" s="120"/>
      <c r="N237" s="120"/>
      <c r="O237" s="120"/>
      <c r="P237" s="120"/>
      <c r="Q237" s="120"/>
    </row>
    <row r="238" spans="3:17" x14ac:dyDescent="0.25">
      <c r="C238" s="196"/>
      <c r="D238" s="197"/>
      <c r="E238" s="196"/>
      <c r="F238" s="120"/>
      <c r="G238" s="120"/>
      <c r="H238" s="120"/>
      <c r="I238" s="120"/>
      <c r="J238" s="120"/>
      <c r="K238" s="120"/>
      <c r="L238" s="120"/>
      <c r="M238" s="120"/>
      <c r="N238" s="120"/>
      <c r="O238" s="120"/>
      <c r="P238" s="120"/>
      <c r="Q238" s="120"/>
    </row>
    <row r="239" spans="3:17" x14ac:dyDescent="0.25">
      <c r="C239" s="196"/>
      <c r="D239" s="197"/>
      <c r="E239" s="196"/>
      <c r="F239" s="120"/>
      <c r="G239" s="120"/>
      <c r="H239" s="120"/>
      <c r="I239" s="120"/>
      <c r="J239" s="120"/>
      <c r="K239" s="120"/>
      <c r="L239" s="120"/>
      <c r="M239" s="120"/>
      <c r="N239" s="120"/>
      <c r="O239" s="120"/>
      <c r="P239" s="120"/>
      <c r="Q239" s="120"/>
    </row>
    <row r="240" spans="3:17" x14ac:dyDescent="0.25">
      <c r="C240" s="196"/>
      <c r="D240" s="197"/>
      <c r="E240" s="196"/>
      <c r="F240" s="120"/>
      <c r="G240" s="120"/>
      <c r="H240" s="120"/>
      <c r="I240" s="120"/>
      <c r="J240" s="120"/>
      <c r="K240" s="120"/>
      <c r="L240" s="120"/>
      <c r="M240" s="120"/>
      <c r="N240" s="120"/>
      <c r="O240" s="120"/>
      <c r="P240" s="120"/>
      <c r="Q240" s="120"/>
    </row>
    <row r="241" spans="3:17" x14ac:dyDescent="0.25">
      <c r="C241" s="196"/>
      <c r="D241" s="197"/>
      <c r="E241" s="196"/>
      <c r="F241" s="120"/>
      <c r="G241" s="120"/>
      <c r="H241" s="120"/>
      <c r="I241" s="120"/>
      <c r="J241" s="120"/>
      <c r="K241" s="120"/>
      <c r="L241" s="120"/>
      <c r="M241" s="120"/>
      <c r="N241" s="120"/>
      <c r="O241" s="120"/>
      <c r="P241" s="120"/>
      <c r="Q241" s="120"/>
    </row>
    <row r="242" spans="3:17" x14ac:dyDescent="0.25">
      <c r="C242" s="196"/>
      <c r="D242" s="197"/>
      <c r="E242" s="196"/>
      <c r="F242" s="120"/>
      <c r="G242" s="120"/>
      <c r="H242" s="120"/>
      <c r="I242" s="120"/>
      <c r="J242" s="120"/>
      <c r="K242" s="120"/>
      <c r="L242" s="120"/>
      <c r="M242" s="120"/>
      <c r="N242" s="120"/>
      <c r="O242" s="120"/>
      <c r="P242" s="120"/>
      <c r="Q242" s="120"/>
    </row>
    <row r="243" spans="3:17" x14ac:dyDescent="0.25">
      <c r="C243" s="196"/>
      <c r="D243" s="197"/>
      <c r="E243" s="196"/>
      <c r="F243" s="120"/>
      <c r="G243" s="120"/>
      <c r="H243" s="120"/>
      <c r="I243" s="120"/>
      <c r="J243" s="120"/>
      <c r="K243" s="120"/>
      <c r="L243" s="120"/>
      <c r="M243" s="120"/>
      <c r="N243" s="120"/>
      <c r="O243" s="120"/>
      <c r="P243" s="120"/>
      <c r="Q243" s="120"/>
    </row>
    <row r="244" spans="3:17" x14ac:dyDescent="0.25">
      <c r="C244" s="196"/>
      <c r="D244" s="197"/>
      <c r="E244" s="196"/>
      <c r="F244" s="120"/>
      <c r="G244" s="120"/>
      <c r="H244" s="120"/>
      <c r="I244" s="120"/>
      <c r="J244" s="120"/>
      <c r="K244" s="120"/>
      <c r="L244" s="120"/>
      <c r="M244" s="120"/>
      <c r="N244" s="120"/>
      <c r="O244" s="120"/>
      <c r="P244" s="120"/>
      <c r="Q244" s="120"/>
    </row>
    <row r="245" spans="3:17" x14ac:dyDescent="0.25">
      <c r="C245" s="196"/>
      <c r="D245" s="197"/>
      <c r="E245" s="196"/>
      <c r="F245" s="120"/>
      <c r="G245" s="120"/>
      <c r="H245" s="120"/>
      <c r="I245" s="120"/>
      <c r="J245" s="120"/>
      <c r="K245" s="120"/>
      <c r="L245" s="120"/>
      <c r="M245" s="120"/>
      <c r="N245" s="120"/>
      <c r="O245" s="120"/>
      <c r="P245" s="120"/>
      <c r="Q245" s="120"/>
    </row>
    <row r="246" spans="3:17" x14ac:dyDescent="0.25">
      <c r="C246" s="196"/>
      <c r="D246" s="197"/>
      <c r="E246" s="196"/>
      <c r="F246" s="120"/>
      <c r="G246" s="120"/>
      <c r="H246" s="120"/>
      <c r="I246" s="120"/>
      <c r="J246" s="120"/>
      <c r="K246" s="120"/>
      <c r="L246" s="120"/>
      <c r="M246" s="120"/>
      <c r="N246" s="120"/>
      <c r="O246" s="120"/>
      <c r="P246" s="120"/>
      <c r="Q246" s="120"/>
    </row>
    <row r="247" spans="3:17" x14ac:dyDescent="0.25">
      <c r="C247" s="196"/>
      <c r="D247" s="197"/>
      <c r="E247" s="196"/>
      <c r="F247" s="120"/>
      <c r="G247" s="120"/>
      <c r="H247" s="120"/>
      <c r="I247" s="120"/>
      <c r="J247" s="120"/>
      <c r="K247" s="120"/>
      <c r="L247" s="120"/>
      <c r="M247" s="120"/>
      <c r="N247" s="120"/>
      <c r="O247" s="120"/>
      <c r="P247" s="120"/>
      <c r="Q247" s="120"/>
    </row>
    <row r="248" spans="3:17" x14ac:dyDescent="0.25">
      <c r="C248" s="196"/>
      <c r="D248" s="197"/>
      <c r="E248" s="196"/>
      <c r="F248" s="120"/>
      <c r="G248" s="120"/>
      <c r="H248" s="120"/>
      <c r="I248" s="120"/>
      <c r="J248" s="120"/>
      <c r="K248" s="120"/>
      <c r="L248" s="120"/>
      <c r="M248" s="120"/>
      <c r="N248" s="120"/>
      <c r="O248" s="120"/>
      <c r="P248" s="120"/>
      <c r="Q248" s="120"/>
    </row>
    <row r="249" spans="3:17" x14ac:dyDescent="0.25">
      <c r="C249" s="196"/>
      <c r="D249" s="197"/>
      <c r="E249" s="196"/>
      <c r="F249" s="120"/>
      <c r="G249" s="120"/>
      <c r="H249" s="120"/>
      <c r="I249" s="120"/>
      <c r="J249" s="120"/>
      <c r="K249" s="120"/>
      <c r="L249" s="120"/>
      <c r="M249" s="120"/>
      <c r="N249" s="120"/>
      <c r="O249" s="120"/>
      <c r="P249" s="120"/>
      <c r="Q249" s="120"/>
    </row>
    <row r="250" spans="3:17" x14ac:dyDescent="0.25">
      <c r="C250" s="196"/>
      <c r="D250" s="197"/>
      <c r="E250" s="196"/>
      <c r="F250" s="120"/>
      <c r="G250" s="120"/>
      <c r="H250" s="120"/>
      <c r="I250" s="120"/>
      <c r="J250" s="120"/>
      <c r="K250" s="120"/>
      <c r="L250" s="120"/>
      <c r="M250" s="120"/>
      <c r="N250" s="120"/>
      <c r="O250" s="120"/>
      <c r="P250" s="120"/>
      <c r="Q250" s="120"/>
    </row>
    <row r="251" spans="3:17" x14ac:dyDescent="0.25">
      <c r="C251" s="196"/>
      <c r="D251" s="197"/>
      <c r="E251" s="196"/>
      <c r="F251" s="120"/>
      <c r="G251" s="120"/>
      <c r="H251" s="120"/>
      <c r="I251" s="120"/>
      <c r="J251" s="120"/>
      <c r="K251" s="120"/>
      <c r="L251" s="120"/>
      <c r="M251" s="120"/>
      <c r="N251" s="120"/>
      <c r="O251" s="120"/>
      <c r="P251" s="120"/>
      <c r="Q251" s="120"/>
    </row>
    <row r="252" spans="3:17" x14ac:dyDescent="0.25">
      <c r="C252" s="196"/>
      <c r="D252" s="197"/>
      <c r="E252" s="196"/>
      <c r="F252" s="120"/>
      <c r="G252" s="120"/>
      <c r="H252" s="120"/>
      <c r="I252" s="120"/>
      <c r="J252" s="120"/>
      <c r="K252" s="120"/>
      <c r="L252" s="120"/>
      <c r="M252" s="120"/>
      <c r="N252" s="120"/>
      <c r="O252" s="120"/>
      <c r="P252" s="120"/>
      <c r="Q252" s="120"/>
    </row>
    <row r="253" spans="3:17" x14ac:dyDescent="0.25">
      <c r="C253" s="196"/>
      <c r="D253" s="197"/>
      <c r="E253" s="196"/>
      <c r="F253" s="120"/>
      <c r="G253" s="120"/>
      <c r="H253" s="120"/>
      <c r="I253" s="120"/>
      <c r="J253" s="120"/>
      <c r="K253" s="120"/>
      <c r="L253" s="120"/>
      <c r="M253" s="120"/>
      <c r="N253" s="120"/>
      <c r="O253" s="120"/>
      <c r="P253" s="120"/>
      <c r="Q253" s="120"/>
    </row>
    <row r="254" spans="3:17" x14ac:dyDescent="0.25">
      <c r="C254" s="196"/>
      <c r="D254" s="197"/>
      <c r="E254" s="196"/>
      <c r="F254" s="120"/>
      <c r="G254" s="120"/>
      <c r="H254" s="120"/>
      <c r="I254" s="120"/>
      <c r="J254" s="120"/>
      <c r="K254" s="120"/>
      <c r="L254" s="120"/>
      <c r="M254" s="120"/>
      <c r="N254" s="120"/>
      <c r="O254" s="120"/>
      <c r="P254" s="120"/>
      <c r="Q254" s="120"/>
    </row>
    <row r="255" spans="3:17" x14ac:dyDescent="0.25">
      <c r="C255" s="196"/>
      <c r="D255" s="197"/>
      <c r="E255" s="196"/>
      <c r="F255" s="120"/>
      <c r="G255" s="120"/>
      <c r="H255" s="120"/>
      <c r="I255" s="120"/>
      <c r="J255" s="120"/>
      <c r="K255" s="120"/>
      <c r="L255" s="120"/>
      <c r="M255" s="120"/>
      <c r="N255" s="120"/>
      <c r="O255" s="120"/>
      <c r="P255" s="120"/>
      <c r="Q255" s="120"/>
    </row>
    <row r="256" spans="3:17" x14ac:dyDescent="0.25">
      <c r="C256" s="196"/>
      <c r="D256" s="197"/>
      <c r="E256" s="196"/>
      <c r="F256" s="120"/>
      <c r="G256" s="120"/>
      <c r="H256" s="120"/>
      <c r="I256" s="120"/>
      <c r="J256" s="120"/>
      <c r="K256" s="120"/>
      <c r="L256" s="120"/>
      <c r="M256" s="120"/>
      <c r="N256" s="120"/>
      <c r="O256" s="120"/>
      <c r="P256" s="120"/>
      <c r="Q256" s="120"/>
    </row>
    <row r="257" spans="3:17" x14ac:dyDescent="0.25">
      <c r="C257" s="196"/>
      <c r="D257" s="197"/>
      <c r="E257" s="196"/>
      <c r="F257" s="120"/>
      <c r="G257" s="120"/>
      <c r="H257" s="120"/>
      <c r="I257" s="120"/>
      <c r="J257" s="120"/>
      <c r="K257" s="120"/>
      <c r="L257" s="120"/>
      <c r="M257" s="120"/>
      <c r="N257" s="120"/>
      <c r="O257" s="120"/>
      <c r="P257" s="120"/>
      <c r="Q257" s="120"/>
    </row>
    <row r="258" spans="3:17" x14ac:dyDescent="0.25">
      <c r="C258" s="196"/>
      <c r="D258" s="197"/>
      <c r="E258" s="196"/>
      <c r="F258" s="120"/>
      <c r="G258" s="120"/>
      <c r="H258" s="120"/>
      <c r="I258" s="120"/>
      <c r="J258" s="120"/>
      <c r="K258" s="120"/>
      <c r="L258" s="120"/>
      <c r="M258" s="120"/>
      <c r="N258" s="120"/>
      <c r="O258" s="120"/>
      <c r="P258" s="120"/>
      <c r="Q258" s="120"/>
    </row>
    <row r="259" spans="3:17" x14ac:dyDescent="0.25">
      <c r="C259" s="196"/>
      <c r="D259" s="197"/>
      <c r="E259" s="196"/>
      <c r="F259" s="120"/>
      <c r="G259" s="120"/>
      <c r="H259" s="120"/>
      <c r="I259" s="120"/>
      <c r="J259" s="120"/>
      <c r="K259" s="120"/>
      <c r="L259" s="120"/>
      <c r="M259" s="120"/>
      <c r="N259" s="120"/>
      <c r="O259" s="120"/>
      <c r="P259" s="120"/>
      <c r="Q259" s="120"/>
    </row>
    <row r="260" spans="3:17" x14ac:dyDescent="0.25">
      <c r="C260" s="196"/>
      <c r="D260" s="197"/>
      <c r="E260" s="196"/>
      <c r="F260" s="120"/>
      <c r="G260" s="120"/>
      <c r="H260" s="120"/>
      <c r="I260" s="120"/>
      <c r="J260" s="120"/>
      <c r="K260" s="120"/>
      <c r="L260" s="120"/>
      <c r="M260" s="120"/>
      <c r="N260" s="120"/>
      <c r="O260" s="120"/>
      <c r="P260" s="120"/>
      <c r="Q260" s="120"/>
    </row>
    <row r="261" spans="3:17" x14ac:dyDescent="0.25">
      <c r="C261" s="196"/>
      <c r="D261" s="197"/>
      <c r="E261" s="196"/>
      <c r="F261" s="120"/>
      <c r="G261" s="120"/>
      <c r="H261" s="120"/>
      <c r="I261" s="120"/>
      <c r="J261" s="120"/>
      <c r="K261" s="120"/>
      <c r="L261" s="120"/>
      <c r="M261" s="120"/>
      <c r="N261" s="120"/>
      <c r="O261" s="120"/>
      <c r="P261" s="120"/>
      <c r="Q261" s="120"/>
    </row>
    <row r="262" spans="3:17" x14ac:dyDescent="0.25">
      <c r="C262" s="196"/>
      <c r="D262" s="197"/>
      <c r="E262" s="196"/>
      <c r="F262" s="120"/>
      <c r="G262" s="120"/>
      <c r="H262" s="120"/>
      <c r="I262" s="120"/>
      <c r="J262" s="120"/>
      <c r="K262" s="120"/>
      <c r="L262" s="120"/>
      <c r="M262" s="120"/>
      <c r="N262" s="120"/>
      <c r="O262" s="120"/>
      <c r="P262" s="120"/>
      <c r="Q262" s="120"/>
    </row>
    <row r="263" spans="3:17" x14ac:dyDescent="0.25">
      <c r="C263" s="196"/>
      <c r="D263" s="197"/>
      <c r="E263" s="196"/>
      <c r="F263" s="120"/>
      <c r="G263" s="120"/>
      <c r="H263" s="120"/>
      <c r="I263" s="120"/>
      <c r="J263" s="120"/>
      <c r="K263" s="120"/>
      <c r="L263" s="120"/>
      <c r="M263" s="120"/>
      <c r="N263" s="120"/>
      <c r="O263" s="120"/>
      <c r="P263" s="120"/>
      <c r="Q263" s="120"/>
    </row>
    <row r="264" spans="3:17" x14ac:dyDescent="0.25">
      <c r="C264" s="196"/>
      <c r="D264" s="197"/>
      <c r="E264" s="196"/>
      <c r="F264" s="120"/>
      <c r="G264" s="120"/>
      <c r="H264" s="120"/>
      <c r="I264" s="120"/>
      <c r="J264" s="120"/>
      <c r="K264" s="120"/>
      <c r="L264" s="120"/>
      <c r="M264" s="120"/>
      <c r="N264" s="120"/>
      <c r="O264" s="120"/>
      <c r="P264" s="120"/>
      <c r="Q264" s="120"/>
    </row>
    <row r="265" spans="3:17" x14ac:dyDescent="0.25">
      <c r="C265" s="196"/>
      <c r="D265" s="197"/>
      <c r="E265" s="196"/>
      <c r="F265" s="120"/>
      <c r="G265" s="120"/>
      <c r="H265" s="120"/>
      <c r="I265" s="120"/>
      <c r="J265" s="120"/>
      <c r="K265" s="120"/>
      <c r="L265" s="120"/>
      <c r="M265" s="120"/>
      <c r="N265" s="120"/>
      <c r="O265" s="120"/>
      <c r="P265" s="120"/>
      <c r="Q265" s="120"/>
    </row>
    <row r="266" spans="3:17" x14ac:dyDescent="0.25">
      <c r="C266" s="196"/>
      <c r="D266" s="197"/>
      <c r="E266" s="196"/>
      <c r="F266" s="120"/>
      <c r="G266" s="120"/>
      <c r="H266" s="120"/>
      <c r="I266" s="120"/>
      <c r="J266" s="120"/>
      <c r="K266" s="120"/>
      <c r="L266" s="120"/>
      <c r="M266" s="120"/>
      <c r="N266" s="120"/>
      <c r="O266" s="120"/>
      <c r="P266" s="120"/>
      <c r="Q266" s="120"/>
    </row>
    <row r="267" spans="3:17" x14ac:dyDescent="0.25">
      <c r="C267" s="196"/>
      <c r="D267" s="197"/>
      <c r="E267" s="196"/>
      <c r="F267" s="120"/>
      <c r="G267" s="120"/>
      <c r="H267" s="120"/>
      <c r="I267" s="120"/>
      <c r="J267" s="120"/>
      <c r="K267" s="120"/>
      <c r="L267" s="120"/>
      <c r="M267" s="120"/>
      <c r="N267" s="120"/>
      <c r="O267" s="120"/>
      <c r="P267" s="120"/>
      <c r="Q267" s="120"/>
    </row>
    <row r="268" spans="3:17" x14ac:dyDescent="0.25">
      <c r="C268" s="196"/>
      <c r="D268" s="197"/>
      <c r="E268" s="196"/>
      <c r="F268" s="120"/>
      <c r="G268" s="120"/>
      <c r="H268" s="120"/>
      <c r="I268" s="120"/>
      <c r="J268" s="120"/>
      <c r="K268" s="120"/>
      <c r="L268" s="120"/>
      <c r="M268" s="120"/>
      <c r="N268" s="120"/>
      <c r="O268" s="120"/>
      <c r="P268" s="120"/>
      <c r="Q268" s="120"/>
    </row>
    <row r="269" spans="3:17" x14ac:dyDescent="0.25">
      <c r="C269" s="196"/>
      <c r="D269" s="197"/>
      <c r="E269" s="196"/>
      <c r="F269" s="120"/>
      <c r="G269" s="120"/>
      <c r="H269" s="120"/>
      <c r="I269" s="120"/>
      <c r="J269" s="120"/>
      <c r="K269" s="120"/>
      <c r="L269" s="120"/>
      <c r="M269" s="120"/>
      <c r="N269" s="120"/>
      <c r="O269" s="120"/>
      <c r="P269" s="120"/>
      <c r="Q269" s="120"/>
    </row>
  </sheetData>
  <sheetProtection algorithmName="SHA-512" hashValue="o18KR+ElzlxH9mjLPJ4dLoX5DLfGa3xHi69Cw5u5iTKiV0qnf0It9c+hjO7hOxPFx89185xJHYZIm8xh8Qos3g==" saltValue="eo9emafmNQm3RHV9wU+qhw==" spinCount="100000" sheet="1"/>
  <mergeCells count="3">
    <mergeCell ref="A111:O111"/>
    <mergeCell ref="B49:Q49"/>
    <mergeCell ref="L22:M22"/>
  </mergeCells>
  <phoneticPr fontId="6" type="noConversion"/>
  <dataValidations count="41">
    <dataValidation type="list" allowBlank="1" showInputMessage="1" showErrorMessage="1" sqref="F64:Q64">
      <formula1>"Platinum, Gold, Silver, Bronze"</formula1>
    </dataValidation>
    <dataValidation type="list" allowBlank="1" showInputMessage="1" showErrorMessage="1" sqref="F65:Q65">
      <formula1>"Network 1, Network 2, Network 3, Network 4"</formula1>
    </dataValidation>
    <dataValidation type="list" allowBlank="1" showInputMessage="1" showErrorMessage="1" sqref="F66:Q66">
      <formula1>"HMO, PPO, Indemnity, EPO, POS"</formula1>
    </dataValidation>
    <dataValidation type="list" allowBlank="1" showInputMessage="1" showErrorMessage="1" errorTitle="Value not valid." error="Market is a required field." promptTitle="Required:" prompt="Select the applicable market from the drop-down box. Valid markets are Individual, Small Group or Combined." sqref="H4">
      <formula1>"Individual,Small Group,Combined"</formula1>
    </dataValidation>
    <dataValidation type="list" allowBlank="1" showInputMessage="1" showErrorMessage="1" errorTitle="Value not valid." error="State is a required field." promptTitle="Required:" prompt="Enter the state that has regulatory authority over the policies." sqref="H3">
      <formula1>StateList</formula1>
    </dataValidation>
    <dataValidation type="textLength" allowBlank="1" showInputMessage="1" showErrorMessage="1" errorTitle="Value not valid" error="Company Legal Name is a required field.   (Enter up to 100 characters)" promptTitle="Required:" prompt="Enter the organization’s legal entity name. The name entered in this cell must be the name that is associated with the HIOS Issuer ID.  (Enter up to 100 characters)" sqref="E3">
      <formula1>1</formula1>
      <formula2>100</formula2>
    </dataValidation>
    <dataValidation type="textLength" allowBlank="1" showInputMessage="1" showErrorMessage="1" errorTitle="Value not valid." error="HIOS Issuer ID is a required field (5 digit numeric value)." promptTitle="Required:" prompt="Enter the HIOS ID assigned to the legal entity. (5 digit numeric value)" sqref="E4">
      <formula1>5</formula1>
      <formula2>5</formula2>
    </dataValidation>
    <dataValidation type="date" operator="greaterThan" allowBlank="1" showInputMessage="1" showErrorMessage="1" errorTitle="Value not valid" error="Experience Base Date is a required field." promptTitle="Required:" prompt="Date that is the beginning of the experience Base Period." sqref="E12">
      <formula1>29221</formula1>
    </dataValidation>
    <dataValidation type="whole" operator="greaterThan" allowBlank="1" showInputMessage="1" showErrorMessage="1" errorTitle="Value not valid" error="Premiums (net of MLR Rebate) in Experience Period is a required field." promptTitle="Required:" prompt="Enter the amount of premium earned during the experience period, net of MLR rebates to policyholders." sqref="F14">
      <formula1>0</formula1>
    </dataValidation>
    <dataValidation type="whole" operator="greaterThan" allowBlank="1" showInputMessage="1" showErrorMessage="1" errorTitle="Value not valid" error="Incurred Claims is a required field." promptTitle="Required:" prompt="Enter total claims incurred in the experience period." sqref="F15">
      <formula1>0</formula1>
    </dataValidation>
    <dataValidation type="whole" operator="greaterThan" allowBlank="1" showInputMessage="1" showErrorMessage="1" errorTitle="Value not valid" error="Allowed Claims is a required field." promptTitle="Required:" prompt="Enter total allowed claims with dates of service during the experience period." sqref="F16">
      <formula1>0</formula1>
    </dataValidation>
    <dataValidation type="decimal" operator="greaterThanOrEqual" allowBlank="1" showInputMessage="1" showErrorMessage="1" errorTitle="Value not valid" error="Index Rate of Experience Period is a required field." promptTitle="Required:" prompt="Enter the index rate underlying the experience period.  This field is required for all submissions including plans with rates effective in or after 2014." sqref="G17">
      <formula1>0</formula1>
    </dataValidation>
    <dataValidation type="whole" operator="greaterThanOrEqual" allowBlank="1" showInputMessage="1" showErrorMessage="1" errorTitle="Value not valid" error="Experience Period Member Months is a required field." promptTitle="Required:" prompt="Enter the total number of months of coverage in the experience period for all members that had coverage during any portion of the experience period." sqref="F18">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4">
      <formula1>Util_No_PB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9">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8">
      <formula1>Util_No_ADP</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9">
      <formula1>Util_No_ADB</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7">
      <formula1>Util_No_ADPB</formula1>
    </dataValidation>
    <dataValidation type="decimal" operator="greaterThanOrEqual" allowBlank="1" showInputMessage="1" showErrorMessage="1" errorTitle="Value not valid" error="Enter Utilization per 1,000 for each benefit category." promptTitle="Required if Category Used:" prompt="Enter the total utilization per 1,000 covered members for claims incurred during the experience period for each benefit category.  The utilization must be entered on an annualized basis. (note:  enter data for all applicable categories.)" sqref="F24:F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8">
      <formula1>0</formula1>
    </dataValidation>
    <dataValidation type="decimal" operator="greaterThanOrEqual" allowBlank="1" showInputMessage="1" showErrorMessage="1" errorTitle="Value not valid" error="Enter currency value greater than 0 if benefit category is used." promptTitle="Required if Category Used:" prompt="Enter the assumed utilization per 1,000 for the data underlying the credibility manual.  (Enter a value greater than 0 if benefit category is used)" sqref="R24:R29">
      <formula1>0</formula1>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9">
      <formula1>0</formula1>
    </dataValidation>
    <dataValidation type="decimal" allowBlank="1" showInputMessage="1" showErrorMessage="1" errorTitle="Value not valid" error="Enter a percentage value between 0 and 100%" promptTitle="Required:" prompt="Enter the assumed level of credibility to be applied to the experience period claims that have been projected to the rating period.  (Enter a percentage value)" sqref="Q32">
      <formula1>0</formula1>
      <formula2>1</formula2>
    </dataValidation>
    <dataValidation type="decimal" allowBlank="1" showInputMessage="1" showErrorMessage="1" errorTitle="Value not valid" error="Enter a decimal value between 0 and 1.0 with up to 3 decimal points" promptTitle="Required:" prompt="Enter the average paid to allowed factor for the projection period.  (Enter a decimal value between 0 and 1.0 with up to 3 decimal points)" sqref="V33">
      <formula1>0</formula1>
      <formula2>1</formula2>
    </dataValidation>
    <dataValidation type="decimal" allowBlank="1" showInputMessage="1" showErrorMessage="1" errorTitle="Value not valid" error="Enter dollar value if market is Individual or Combined" promptTitle="Required if Indv./Comb. Market:" prompt="Enter projected net recoveries from the federal reinsurance program.   (Enter dollar value if market is Individual or Combined)" sqref="V37">
      <formula1>-9999999999999</formula1>
      <formula2>9999999999999</formula2>
    </dataValidation>
    <dataValidation type="decimal" allowBlank="1" showInputMessage="1" showErrorMessage="1" errorTitle="Value not valid" error="Enter percentage between 0 and 100% up to 2 decimal points." promptTitle="Required:" prompt="Enter the administrative expense load included in the premiums being filed for the effective date.   (Enter percentage between 0 and 100% up to 2 decimal points.)" sqref="T40">
      <formula1>0</formula1>
      <formula2>1</formula2>
    </dataValidation>
    <dataValidation type="decimal" allowBlank="1" showInputMessage="1" showErrorMessage="1" errorTitle="Value not valid" error="Enter percentage between -100% and 100% with up to 2 decimal points." promptTitle="Required:" prompt="Enter the profit and risk load included in the premiums being filed for the effective date.  (Enter percentage between -100% and 100% with up to 2 decimal points.)" sqref="T41">
      <formula1>-1</formula1>
      <formula2>1</formula2>
    </dataValidation>
    <dataValidation type="decimal" allowBlank="1" showInputMessage="1" showErrorMessage="1" errorTitle="Value not valid" error="Enter percentage between 0 and 100% up to 2 decimal points." promptTitle="Required:" prompt="Enter the taxes and fees included in the premiums being filed for the effective date.  (Enter percentage between 0 and 100% up to 2 decimal points.)" sqref="T42">
      <formula1>0</formula1>
      <formula2>1</formula2>
    </dataValidation>
    <dataValidation type="decimal" operator="greaterThan" allowBlank="1" showInputMessage="1" showErrorMessage="1" errorTitle="Value not valid" error="Enter dollar amount greater than 0" promptTitle="Required:" prompt="Enter the projected index rate for the projection period.   (Enter dollar amount greater than 0)" sqref="V44">
      <formula1>0</formula1>
    </dataValidation>
    <dataValidation type="whole" operator="greaterThanOrEqual" allowBlank="1" showInputMessage="1" showErrorMessage="1" errorTitle="Value not valid" error="Enter a whole number value." promptTitle="Required:" prompt="Enter the Projected Member Months (enter a whole number value)" sqref="X47">
      <formula1>0</formula1>
    </dataValidation>
    <dataValidation type="decimal" allowBlank="1" showInputMessage="1" showErrorMessage="1" errorTitle="Value not valid" error="Enter a decimal with up to 2 decimal points." promptTitle="Required:" prompt="Enter the projected PMPM amount of risk transfers for the projection period as a decimal with up to 2 decimal points." sqref="V35">
      <formula1>-9999999999999</formula1>
      <formula2>9999999999999</formula2>
    </dataValidation>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8">
      <formula1>0</formula1>
    </dataValidation>
    <dataValidation type="decimal" operator="greaterThanOrEqual" allowBlank="1" showInputMessage="1" showErrorMessage="1" errorTitle="Value not valid" error="Enter Average Cost/Service for each benefit category." promptTitle="Required if Category Used:" prompt="Enter the average allowed cost per unit of service for claims incurred during the experience period for each benefit category.  (note:  enter data for all applicable categories.)" sqref="G24:G27">
      <formula1>0</formula1>
    </dataValidation>
    <dataValidation allowBlank="1" showInputMessage="1" showErrorMessage="1" promptTitle="Required:" prompt="This field will be automatically populated based on the latest Effective Date entered on Worksheet 2." sqref="E5"/>
    <dataValidation type="decimal" operator="greaterThanOrEqual" allowBlank="1" showInputMessage="1" showErrorMessage="1" errorTitle="Value not valid" error="Enter a value greater than 0 if benefit category is used." promptTitle="Required if Category Used:" prompt="Enter the assumed average cost per service for the data underlying the credibility manual.  (Enter a value greater than 0 if benefit category is used)" sqref="S24:S27">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morbidity of the covered population from the experience period to the projection period. (enter decimal with up to 3 decimal points i.e. 1.003)" sqref="J24:J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related to things other than population morbidity, cost trend, and utilization trend.  (enter decimal with up to 3 decimal points i.e. 1.003)" sqref="K24:K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cost per service from the experience period to the projection period.  (enter decimal with up to 3 decimal points i.e. 1.003)" sqref="L24:L29">
      <formula1>0</formula1>
    </dataValidation>
    <dataValidation type="decimal" operator="greaterThan" allowBlank="1" showInputMessage="1" showErrorMessage="1" errorTitle="Value not valid" error="Enter a decimal with up to 3 decimal points i.e. 1.003." promptTitle="Required if Category Used:" prompt="Enter the assumed change in utilization per 1,000 members from the experience period to the projection period.  (enter decimal with up to 3 decimal points i.e. 1.003)" sqref="M24:M29">
      <formula1>0</formula1>
    </dataValidation>
    <dataValidation type="list" allowBlank="1" showInputMessage="1" showErrorMessage="1" errorTitle="Value not valid" error="Select a valid utilization description for the benefit category." promptTitle="Required if Category Used:" prompt="Select utilization description for benefit category. (note:  enter data for all applicable categories.)" sqref="E25 E26">
      <formula1>Util_No_ADPB</formula1>
    </dataValidation>
  </dataValidations>
  <printOptions headings="1"/>
  <pageMargins left="0.2" right="0.2" top="0.3" bottom="0.3" header="0.05" footer="0.05"/>
  <pageSetup scale="48"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0</xdr:row>
                    <xdr:rowOff>0</xdr:rowOff>
                  </from>
                  <to>
                    <xdr:col>5</xdr:col>
                    <xdr:colOff>1038225</xdr:colOff>
                    <xdr:row>1</xdr:row>
                    <xdr:rowOff>19050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7</xdr:col>
                    <xdr:colOff>323850</xdr:colOff>
                    <xdr:row>0</xdr:row>
                    <xdr:rowOff>0</xdr:rowOff>
                  </from>
                  <to>
                    <xdr:col>9</xdr:col>
                    <xdr:colOff>200025</xdr:colOff>
                    <xdr:row>1</xdr:row>
                    <xdr:rowOff>28575</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9</xdr:col>
                    <xdr:colOff>266700</xdr:colOff>
                    <xdr:row>0</xdr:row>
                    <xdr:rowOff>0</xdr:rowOff>
                  </from>
                  <to>
                    <xdr:col>10</xdr:col>
                    <xdr:colOff>523875</xdr:colOff>
                    <xdr:row>1</xdr:row>
                    <xdr:rowOff>28575</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6</xdr:col>
                    <xdr:colOff>9525</xdr:colOff>
                    <xdr:row>0</xdr:row>
                    <xdr:rowOff>0</xdr:rowOff>
                  </from>
                  <to>
                    <xdr:col>7</xdr:col>
                    <xdr:colOff>257175</xdr:colOff>
                    <xdr:row>1</xdr:row>
                    <xdr:rowOff>19050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V106"/>
  <sheetViews>
    <sheetView showGridLines="0" zoomScaleNormal="100" workbookViewId="0">
      <selection activeCell="E7" sqref="E7"/>
    </sheetView>
  </sheetViews>
  <sheetFormatPr defaultColWidth="8.85546875" defaultRowHeight="15" x14ac:dyDescent="0.25"/>
  <cols>
    <col min="1" max="1" width="13.42578125" style="251" customWidth="1"/>
    <col min="2" max="2" width="12.85546875" style="251" bestFit="1" customWidth="1"/>
    <col min="3" max="3" width="4" style="251" customWidth="1"/>
    <col min="4" max="4" width="2.7109375" style="251" customWidth="1"/>
    <col min="5" max="5" width="43.85546875" style="251" customWidth="1"/>
    <col min="6" max="6" width="14.5703125" style="251" customWidth="1"/>
    <col min="7" max="61" width="15.7109375" style="45" customWidth="1"/>
    <col min="62" max="16384" width="8.85546875" style="45"/>
  </cols>
  <sheetData>
    <row r="1" spans="1:38" ht="18.600000000000001" customHeight="1" x14ac:dyDescent="0.3">
      <c r="A1" s="369" t="s">
        <v>197</v>
      </c>
      <c r="E1" s="20" t="s">
        <v>24</v>
      </c>
      <c r="F1" s="20"/>
      <c r="G1" s="91"/>
      <c r="H1" s="91"/>
      <c r="I1" s="91"/>
      <c r="J1" s="90"/>
      <c r="K1" s="92"/>
      <c r="L1" s="92"/>
      <c r="M1" s="92"/>
      <c r="N1" s="92"/>
      <c r="O1" s="92"/>
      <c r="P1" s="92"/>
      <c r="Q1" s="92"/>
      <c r="R1" s="92"/>
      <c r="S1" s="92"/>
      <c r="T1" s="92"/>
      <c r="U1" s="92"/>
      <c r="V1" s="92"/>
      <c r="W1" s="92"/>
    </row>
    <row r="2" spans="1:38" ht="18.75" x14ac:dyDescent="0.3">
      <c r="E2" s="3"/>
      <c r="F2" s="3"/>
      <c r="G2" s="91"/>
      <c r="H2" s="91"/>
      <c r="I2" s="91"/>
      <c r="J2" s="90"/>
      <c r="K2" s="92"/>
      <c r="L2" s="92"/>
      <c r="M2" s="92"/>
      <c r="N2" s="92"/>
      <c r="O2" s="92"/>
      <c r="P2" s="92"/>
      <c r="Q2" s="92"/>
      <c r="R2" s="92"/>
      <c r="S2" s="92"/>
      <c r="T2" s="92"/>
      <c r="U2" s="92"/>
      <c r="V2" s="92"/>
      <c r="W2" s="92"/>
    </row>
    <row r="3" spans="1:38" ht="18.75" x14ac:dyDescent="0.3">
      <c r="E3" s="10" t="s">
        <v>9</v>
      </c>
      <c r="F3" s="10"/>
      <c r="G3" s="91"/>
      <c r="H3" s="205" t="str">
        <f>IF('Wksh 1 - Market Experience'!E3&lt;&gt;"", 'Wksh 1 - Market Experience'!E3,"")</f>
        <v>HMO Colorado, Inc.</v>
      </c>
      <c r="I3" s="205"/>
      <c r="J3" s="206"/>
      <c r="K3" s="206"/>
      <c r="L3" s="206"/>
      <c r="M3" s="92"/>
      <c r="N3" s="92"/>
      <c r="P3" s="93" t="s">
        <v>15</v>
      </c>
      <c r="Q3" s="367" t="str">
        <f>IF('Wksh 1 - Market Experience'!H3="","",'Wksh 1 - Market Experience'!H3)</f>
        <v>CO</v>
      </c>
      <c r="R3" s="92"/>
      <c r="S3" s="92"/>
      <c r="T3" s="92"/>
      <c r="U3" s="92"/>
      <c r="V3" s="92"/>
      <c r="W3" s="92"/>
    </row>
    <row r="4" spans="1:38" ht="18.75" x14ac:dyDescent="0.3">
      <c r="E4" s="11" t="s">
        <v>10</v>
      </c>
      <c r="F4" s="11"/>
      <c r="G4" s="91"/>
      <c r="H4" s="205">
        <f>IF('Wksh 1 - Market Experience'!E4&lt;&gt;"",'Wksh 1 - Market Experience'!E4,"")</f>
        <v>76680</v>
      </c>
      <c r="I4" s="205"/>
      <c r="J4" s="206"/>
      <c r="K4" s="206"/>
      <c r="L4" s="207"/>
      <c r="M4" s="92"/>
      <c r="N4" s="92"/>
      <c r="P4" s="93" t="s">
        <v>17</v>
      </c>
      <c r="Q4" s="367" t="str">
        <f>IF('Wksh 1 - Market Experience'!H4="","",'Wksh 1 - Market Experience'!H4)</f>
        <v>Individual</v>
      </c>
      <c r="R4" s="92"/>
      <c r="S4" s="92"/>
      <c r="T4" s="92"/>
      <c r="U4" s="92"/>
      <c r="V4" s="92"/>
      <c r="W4" s="92"/>
    </row>
    <row r="5" spans="1:38" ht="18.75" x14ac:dyDescent="0.3">
      <c r="E5" s="10" t="s">
        <v>25</v>
      </c>
      <c r="F5" s="10"/>
      <c r="G5" s="91"/>
      <c r="H5" s="381">
        <f>IF('Wksh 1 - Market Experience'!E5&lt;&gt;"",'Wksh 1 - Market Experience'!E5,"")</f>
        <v>43101</v>
      </c>
      <c r="I5" s="381"/>
      <c r="J5" s="382"/>
      <c r="K5" s="92"/>
      <c r="L5" s="92"/>
      <c r="M5" s="92"/>
      <c r="N5" s="92"/>
      <c r="O5" s="92"/>
      <c r="P5" s="92"/>
      <c r="Q5" s="92"/>
      <c r="R5" s="92"/>
      <c r="S5" s="92"/>
      <c r="T5" s="92"/>
      <c r="U5" s="92"/>
      <c r="V5" s="92"/>
      <c r="W5" s="92"/>
    </row>
    <row r="6" spans="1:38" x14ac:dyDescent="0.25">
      <c r="E6" s="252"/>
      <c r="F6" s="252"/>
      <c r="G6" s="92"/>
      <c r="H6" s="92"/>
      <c r="I6" s="92"/>
      <c r="J6" s="95"/>
      <c r="K6" s="92"/>
      <c r="L6" s="92"/>
      <c r="M6" s="92"/>
      <c r="N6" s="92"/>
      <c r="O6" s="92"/>
      <c r="P6" s="92"/>
      <c r="Q6" s="92"/>
      <c r="R6" s="92"/>
      <c r="S6" s="92"/>
      <c r="T6" s="92"/>
      <c r="U6" s="92"/>
      <c r="V6" s="92"/>
      <c r="W6" s="92"/>
    </row>
    <row r="7" spans="1:38" x14ac:dyDescent="0.25">
      <c r="E7" s="252"/>
      <c r="F7" s="252"/>
      <c r="G7" s="92"/>
      <c r="H7" s="92"/>
      <c r="I7" s="92"/>
      <c r="J7" s="95"/>
      <c r="K7" s="92"/>
      <c r="L7" s="92"/>
      <c r="M7" s="92"/>
      <c r="N7" s="92"/>
      <c r="O7" s="92"/>
      <c r="P7" s="92"/>
      <c r="Q7" s="92"/>
      <c r="R7" s="92"/>
      <c r="S7" s="92"/>
      <c r="T7" s="92"/>
      <c r="U7" s="92"/>
      <c r="V7" s="92"/>
      <c r="W7" s="92"/>
    </row>
    <row r="8" spans="1:38" x14ac:dyDescent="0.25">
      <c r="E8" s="256" t="s">
        <v>26</v>
      </c>
      <c r="F8" s="261"/>
      <c r="G8" s="97"/>
      <c r="H8" s="97"/>
      <c r="I8" s="97"/>
      <c r="J8" s="98"/>
      <c r="K8" s="97"/>
      <c r="L8" s="97"/>
      <c r="M8" s="97"/>
      <c r="N8" s="97"/>
      <c r="O8" s="97"/>
      <c r="P8" s="97"/>
      <c r="Q8" s="97"/>
      <c r="R8" s="97"/>
      <c r="S8" s="97"/>
      <c r="T8" s="97"/>
      <c r="U8" s="97"/>
      <c r="V8" s="97"/>
      <c r="W8" s="97"/>
      <c r="X8" s="99"/>
    </row>
    <row r="9" spans="1:38" x14ac:dyDescent="0.25">
      <c r="E9" s="254"/>
      <c r="F9" s="255"/>
      <c r="G9" s="101"/>
      <c r="H9" s="101"/>
      <c r="I9" s="101"/>
      <c r="J9" s="102"/>
      <c r="K9" s="101"/>
      <c r="L9" s="101"/>
      <c r="M9" s="101"/>
      <c r="N9" s="101"/>
      <c r="O9" s="101"/>
      <c r="P9" s="101"/>
      <c r="Q9" s="101"/>
      <c r="R9" s="101"/>
      <c r="S9" s="101"/>
      <c r="T9" s="101"/>
      <c r="U9" s="101"/>
      <c r="V9" s="101"/>
      <c r="W9" s="101"/>
      <c r="X9" s="103"/>
    </row>
    <row r="10" spans="1:38" x14ac:dyDescent="0.25">
      <c r="E10" s="253"/>
      <c r="F10" s="253"/>
      <c r="G10" s="115" t="s">
        <v>186</v>
      </c>
      <c r="H10" s="115"/>
      <c r="I10" s="115"/>
      <c r="J10" s="177"/>
      <c r="K10" s="115"/>
      <c r="L10" s="115"/>
      <c r="M10" s="115"/>
      <c r="N10" s="115"/>
      <c r="O10" s="115"/>
      <c r="P10" s="115"/>
      <c r="Q10" s="115"/>
      <c r="R10" s="115"/>
      <c r="S10" s="115"/>
      <c r="T10" s="115"/>
      <c r="U10" s="115"/>
      <c r="V10" s="115"/>
      <c r="W10" s="115"/>
      <c r="X10" s="115"/>
      <c r="Y10" s="111"/>
      <c r="AA10" s="45" t="s">
        <v>186</v>
      </c>
      <c r="AF10" s="45" t="s">
        <v>186</v>
      </c>
      <c r="AK10" s="45" t="s">
        <v>186</v>
      </c>
    </row>
    <row r="11" spans="1:38" x14ac:dyDescent="0.25">
      <c r="E11" s="258" t="s">
        <v>178</v>
      </c>
      <c r="F11" s="258"/>
      <c r="G11" s="208"/>
      <c r="H11" s="208"/>
      <c r="I11" s="208"/>
      <c r="J11" s="209"/>
      <c r="K11" s="208"/>
      <c r="L11" s="208"/>
      <c r="M11" s="208"/>
      <c r="N11" s="208"/>
      <c r="O11" s="208"/>
      <c r="P11" s="208"/>
      <c r="Q11" s="208"/>
      <c r="R11" s="208"/>
      <c r="S11" s="208"/>
      <c r="T11" s="208"/>
      <c r="U11" s="208"/>
      <c r="V11" s="208"/>
      <c r="W11" s="210"/>
    </row>
    <row r="12" spans="1:38" x14ac:dyDescent="0.25">
      <c r="B12" s="45"/>
      <c r="C12" s="45"/>
      <c r="D12" s="45"/>
      <c r="E12" s="46" t="s">
        <v>2</v>
      </c>
      <c r="F12" s="47"/>
      <c r="G12" s="385" t="s">
        <v>201</v>
      </c>
      <c r="H12" s="386"/>
      <c r="I12" s="386"/>
      <c r="J12" s="386"/>
      <c r="K12" s="386"/>
      <c r="L12" s="386"/>
      <c r="M12" s="386"/>
      <c r="N12" s="386"/>
      <c r="O12" s="386"/>
      <c r="P12" s="386"/>
      <c r="Q12" s="386"/>
      <c r="R12" s="386"/>
      <c r="S12" s="386"/>
      <c r="T12" s="386"/>
      <c r="U12" s="386"/>
      <c r="V12" s="386"/>
      <c r="W12" s="386"/>
      <c r="X12" s="386"/>
      <c r="Y12" s="386"/>
      <c r="Z12" s="386"/>
      <c r="AA12" s="386"/>
      <c r="AB12" s="386"/>
      <c r="AC12" s="386"/>
      <c r="AD12" s="386"/>
      <c r="AE12" s="387"/>
      <c r="AF12" s="385" t="s">
        <v>203</v>
      </c>
      <c r="AG12" s="386"/>
      <c r="AH12" s="386"/>
      <c r="AI12" s="386"/>
      <c r="AJ12" s="387"/>
      <c r="AK12" s="385" t="s">
        <v>205</v>
      </c>
      <c r="AL12" s="387"/>
    </row>
    <row r="13" spans="1:38" x14ac:dyDescent="0.25">
      <c r="B13" s="45"/>
      <c r="C13" s="45"/>
      <c r="D13" s="45"/>
      <c r="E13" s="46" t="s">
        <v>27</v>
      </c>
      <c r="F13" s="51"/>
      <c r="G13" s="388" t="s">
        <v>202</v>
      </c>
      <c r="H13" s="389"/>
      <c r="I13" s="389"/>
      <c r="J13" s="389"/>
      <c r="K13" s="389"/>
      <c r="L13" s="389"/>
      <c r="M13" s="389"/>
      <c r="N13" s="389"/>
      <c r="O13" s="389"/>
      <c r="P13" s="389"/>
      <c r="Q13" s="389"/>
      <c r="R13" s="389"/>
      <c r="S13" s="389"/>
      <c r="T13" s="389"/>
      <c r="U13" s="389"/>
      <c r="V13" s="389"/>
      <c r="W13" s="389"/>
      <c r="X13" s="389"/>
      <c r="Y13" s="389"/>
      <c r="Z13" s="389"/>
      <c r="AA13" s="389"/>
      <c r="AB13" s="389"/>
      <c r="AC13" s="389"/>
      <c r="AD13" s="389"/>
      <c r="AE13" s="390"/>
      <c r="AF13" s="388" t="s">
        <v>204</v>
      </c>
      <c r="AG13" s="389"/>
      <c r="AH13" s="389"/>
      <c r="AI13" s="389"/>
      <c r="AJ13" s="390"/>
      <c r="AK13" s="388" t="s">
        <v>206</v>
      </c>
      <c r="AL13" s="390"/>
    </row>
    <row r="14" spans="1:38" x14ac:dyDescent="0.25">
      <c r="B14" s="45"/>
      <c r="C14" s="45"/>
      <c r="D14" s="45"/>
      <c r="E14" s="46" t="s">
        <v>11</v>
      </c>
      <c r="F14" s="47"/>
      <c r="G14" s="44" t="s">
        <v>207</v>
      </c>
      <c r="H14" s="44" t="s">
        <v>208</v>
      </c>
      <c r="I14" s="44" t="s">
        <v>208</v>
      </c>
      <c r="J14" s="44" t="s">
        <v>208</v>
      </c>
      <c r="K14" s="44" t="s">
        <v>208</v>
      </c>
      <c r="L14" s="44" t="s">
        <v>208</v>
      </c>
      <c r="M14" s="44" t="s">
        <v>208</v>
      </c>
      <c r="N14" s="44" t="s">
        <v>208</v>
      </c>
      <c r="O14" s="44" t="s">
        <v>208</v>
      </c>
      <c r="P14" s="44" t="s">
        <v>209</v>
      </c>
      <c r="Q14" s="44" t="s">
        <v>209</v>
      </c>
      <c r="R14" s="44" t="s">
        <v>209</v>
      </c>
      <c r="S14" s="44" t="s">
        <v>209</v>
      </c>
      <c r="T14" s="44" t="s">
        <v>209</v>
      </c>
      <c r="U14" s="44" t="s">
        <v>209</v>
      </c>
      <c r="V14" s="44" t="s">
        <v>209</v>
      </c>
      <c r="W14" s="44" t="s">
        <v>209</v>
      </c>
      <c r="X14" s="44" t="s">
        <v>210</v>
      </c>
      <c r="Y14" s="44" t="s">
        <v>210</v>
      </c>
      <c r="Z14" s="44" t="s">
        <v>209</v>
      </c>
      <c r="AA14" s="44" t="s">
        <v>210</v>
      </c>
      <c r="AB14" s="44" t="s">
        <v>210</v>
      </c>
      <c r="AC14" s="44" t="s">
        <v>210</v>
      </c>
      <c r="AD14" s="44" t="s">
        <v>209</v>
      </c>
      <c r="AE14" s="44" t="s">
        <v>208</v>
      </c>
      <c r="AF14" s="44" t="s">
        <v>209</v>
      </c>
      <c r="AG14" s="44" t="s">
        <v>209</v>
      </c>
      <c r="AH14" s="44" t="s">
        <v>209</v>
      </c>
      <c r="AI14" s="44" t="s">
        <v>210</v>
      </c>
      <c r="AJ14" s="44" t="s">
        <v>209</v>
      </c>
      <c r="AK14" s="44" t="s">
        <v>209</v>
      </c>
      <c r="AL14" s="44" t="s">
        <v>210</v>
      </c>
    </row>
    <row r="15" spans="1:38" x14ac:dyDescent="0.25">
      <c r="B15" s="45"/>
      <c r="C15" s="45"/>
      <c r="D15" s="45"/>
      <c r="E15" s="46" t="s">
        <v>106</v>
      </c>
      <c r="F15" s="48"/>
      <c r="G15" s="333">
        <v>0.60560656111861599</v>
      </c>
      <c r="H15" s="333">
        <v>0.61431595878398804</v>
      </c>
      <c r="I15" s="333">
        <v>0.61431595878398804</v>
      </c>
      <c r="J15" s="333">
        <v>0.61448402253460699</v>
      </c>
      <c r="K15" s="333">
        <v>0.64128719113746502</v>
      </c>
      <c r="L15" s="333">
        <v>0.60992462599214503</v>
      </c>
      <c r="M15" s="333">
        <v>0.60705024200794599</v>
      </c>
      <c r="N15" s="333">
        <v>0.61448402253460699</v>
      </c>
      <c r="O15" s="333">
        <v>0.60705024200794599</v>
      </c>
      <c r="P15" s="333">
        <v>0.681670875134888</v>
      </c>
      <c r="Q15" s="333">
        <v>0.681670875134888</v>
      </c>
      <c r="R15" s="333">
        <v>0.713485191998396</v>
      </c>
      <c r="S15" s="333">
        <v>0.71799054130335704</v>
      </c>
      <c r="T15" s="333">
        <v>0.713485191998396</v>
      </c>
      <c r="U15" s="333">
        <v>0.71783075971982402</v>
      </c>
      <c r="V15" s="333">
        <v>0.68070717478765996</v>
      </c>
      <c r="W15" s="333">
        <v>0.68054339317801804</v>
      </c>
      <c r="X15" s="333">
        <v>0.760635485385737</v>
      </c>
      <c r="Y15" s="333">
        <v>0.760635485385737</v>
      </c>
      <c r="Z15" s="333">
        <v>0.68084611968507192</v>
      </c>
      <c r="AA15" s="333">
        <v>0.78013947926863736</v>
      </c>
      <c r="AB15" s="333">
        <v>0.78010170226464925</v>
      </c>
      <c r="AC15" s="333">
        <v>0.79171895223015731</v>
      </c>
      <c r="AD15" s="333">
        <v>0.71556807893169549</v>
      </c>
      <c r="AE15" s="333">
        <v>0.61923379873151163</v>
      </c>
      <c r="AF15" s="333">
        <v>0.66060503051891495</v>
      </c>
      <c r="AG15" s="333">
        <v>0.66069741931102699</v>
      </c>
      <c r="AH15" s="333">
        <v>0.71604143500907114</v>
      </c>
      <c r="AI15" s="333">
        <v>0.79171895223015731</v>
      </c>
      <c r="AJ15" s="333">
        <v>0.71698986845864932</v>
      </c>
      <c r="AK15" s="333">
        <v>0.71698986845864932</v>
      </c>
      <c r="AL15" s="333">
        <v>0.79171895223015731</v>
      </c>
    </row>
    <row r="16" spans="1:38" x14ac:dyDescent="0.25">
      <c r="B16" s="45"/>
      <c r="C16" s="45"/>
      <c r="D16" s="45"/>
      <c r="E16" s="46" t="s">
        <v>105</v>
      </c>
      <c r="F16" s="48"/>
      <c r="G16" s="333">
        <v>0.59144485887851461</v>
      </c>
      <c r="H16" s="333">
        <v>0.75226633136218657</v>
      </c>
      <c r="I16" s="333">
        <v>0.83381644602943594</v>
      </c>
      <c r="J16" s="333">
        <v>0.88335403326313955</v>
      </c>
      <c r="K16" s="333">
        <v>0.9012957960292014</v>
      </c>
      <c r="L16" s="333">
        <v>0.82560742888977701</v>
      </c>
      <c r="M16" s="333">
        <v>0.86122127095030054</v>
      </c>
      <c r="N16" s="333">
        <v>0.79685015987251961</v>
      </c>
      <c r="O16" s="333">
        <v>0.77693071362048438</v>
      </c>
      <c r="P16" s="333">
        <v>0.79646553118953167</v>
      </c>
      <c r="Q16" s="333">
        <v>0.88483818740692399</v>
      </c>
      <c r="R16" s="333">
        <v>0.91400374110391147</v>
      </c>
      <c r="S16" s="333">
        <v>1.0495328412958937</v>
      </c>
      <c r="T16" s="333">
        <v>1.0135278417546489</v>
      </c>
      <c r="U16" s="333">
        <v>1.0367850580208766</v>
      </c>
      <c r="V16" s="333">
        <v>0.90116712788602038</v>
      </c>
      <c r="W16" s="333">
        <v>0.9073605071546198</v>
      </c>
      <c r="X16" s="333">
        <v>1.3865078540445961</v>
      </c>
      <c r="Y16" s="333">
        <v>1.2496908203397699</v>
      </c>
      <c r="Z16" s="333">
        <v>0.01</v>
      </c>
      <c r="AA16" s="333">
        <v>0.01</v>
      </c>
      <c r="AB16" s="333">
        <v>0.01</v>
      </c>
      <c r="AC16" s="333">
        <v>0.01</v>
      </c>
      <c r="AD16" s="333">
        <v>0.01</v>
      </c>
      <c r="AE16" s="333">
        <v>0.01</v>
      </c>
      <c r="AF16" s="333">
        <v>0.86468199207561403</v>
      </c>
      <c r="AG16" s="333">
        <v>0.87699749365606339</v>
      </c>
      <c r="AH16" s="333">
        <v>0.01</v>
      </c>
      <c r="AI16" s="333">
        <v>0.01</v>
      </c>
      <c r="AJ16" s="333">
        <v>0.01</v>
      </c>
      <c r="AK16" s="333">
        <v>0.01</v>
      </c>
      <c r="AL16" s="333">
        <v>0.01</v>
      </c>
    </row>
    <row r="17" spans="1:38" s="290" customFormat="1" x14ac:dyDescent="0.25">
      <c r="A17" s="277"/>
      <c r="E17" s="291" t="s">
        <v>190</v>
      </c>
      <c r="F17" s="293"/>
      <c r="G17" s="333" t="s">
        <v>192</v>
      </c>
      <c r="H17" s="333" t="s">
        <v>192</v>
      </c>
      <c r="I17" s="333" t="s">
        <v>192</v>
      </c>
      <c r="J17" s="333" t="s">
        <v>192</v>
      </c>
      <c r="K17" s="333" t="s">
        <v>192</v>
      </c>
      <c r="L17" s="333" t="s">
        <v>192</v>
      </c>
      <c r="M17" s="333" t="s">
        <v>192</v>
      </c>
      <c r="N17" s="333" t="s">
        <v>191</v>
      </c>
      <c r="O17" s="333" t="s">
        <v>191</v>
      </c>
      <c r="P17" s="333" t="s">
        <v>192</v>
      </c>
      <c r="Q17" s="333" t="s">
        <v>192</v>
      </c>
      <c r="R17" s="333" t="s">
        <v>192</v>
      </c>
      <c r="S17" s="333" t="s">
        <v>192</v>
      </c>
      <c r="T17" s="333" t="s">
        <v>192</v>
      </c>
      <c r="U17" s="333" t="s">
        <v>192</v>
      </c>
      <c r="V17" s="333" t="s">
        <v>191</v>
      </c>
      <c r="W17" s="333" t="s">
        <v>191</v>
      </c>
      <c r="X17" s="333" t="s">
        <v>191</v>
      </c>
      <c r="Y17" s="333" t="s">
        <v>191</v>
      </c>
      <c r="Z17" s="333" t="s">
        <v>193</v>
      </c>
      <c r="AA17" s="333" t="s">
        <v>193</v>
      </c>
      <c r="AB17" s="333" t="s">
        <v>193</v>
      </c>
      <c r="AC17" s="333" t="s">
        <v>193</v>
      </c>
      <c r="AD17" s="333" t="s">
        <v>193</v>
      </c>
      <c r="AE17" s="333" t="s">
        <v>193</v>
      </c>
      <c r="AF17" s="333" t="s">
        <v>191</v>
      </c>
      <c r="AG17" s="333" t="s">
        <v>191</v>
      </c>
      <c r="AH17" s="333" t="s">
        <v>193</v>
      </c>
      <c r="AI17" s="333" t="s">
        <v>193</v>
      </c>
      <c r="AJ17" s="333" t="s">
        <v>193</v>
      </c>
      <c r="AK17" s="333" t="s">
        <v>193</v>
      </c>
      <c r="AL17" s="333" t="s">
        <v>193</v>
      </c>
    </row>
    <row r="18" spans="1:38" x14ac:dyDescent="0.25">
      <c r="B18" s="45"/>
      <c r="C18" s="45"/>
      <c r="D18" s="45"/>
      <c r="E18" s="46" t="s">
        <v>13</v>
      </c>
      <c r="F18" s="48"/>
      <c r="G18" s="288" t="s">
        <v>211</v>
      </c>
      <c r="H18" s="288" t="s">
        <v>211</v>
      </c>
      <c r="I18" s="288" t="s">
        <v>211</v>
      </c>
      <c r="J18" s="288" t="s">
        <v>211</v>
      </c>
      <c r="K18" s="288" t="s">
        <v>211</v>
      </c>
      <c r="L18" s="288" t="s">
        <v>211</v>
      </c>
      <c r="M18" s="288" t="s">
        <v>211</v>
      </c>
      <c r="N18" s="288" t="s">
        <v>211</v>
      </c>
      <c r="O18" s="288" t="s">
        <v>211</v>
      </c>
      <c r="P18" s="288" t="s">
        <v>211</v>
      </c>
      <c r="Q18" s="288" t="s">
        <v>211</v>
      </c>
      <c r="R18" s="288" t="s">
        <v>211</v>
      </c>
      <c r="S18" s="288" t="s">
        <v>211</v>
      </c>
      <c r="T18" s="288" t="s">
        <v>211</v>
      </c>
      <c r="U18" s="288" t="s">
        <v>211</v>
      </c>
      <c r="V18" s="288" t="s">
        <v>211</v>
      </c>
      <c r="W18" s="288" t="s">
        <v>211</v>
      </c>
      <c r="X18" s="288" t="s">
        <v>211</v>
      </c>
      <c r="Y18" s="288" t="s">
        <v>211</v>
      </c>
      <c r="Z18" s="288" t="s">
        <v>211</v>
      </c>
      <c r="AA18" s="288" t="s">
        <v>211</v>
      </c>
      <c r="AB18" s="288" t="s">
        <v>211</v>
      </c>
      <c r="AC18" s="288" t="s">
        <v>211</v>
      </c>
      <c r="AD18" s="288" t="s">
        <v>211</v>
      </c>
      <c r="AE18" s="288" t="s">
        <v>211</v>
      </c>
      <c r="AF18" s="288" t="s">
        <v>211</v>
      </c>
      <c r="AG18" s="288" t="s">
        <v>211</v>
      </c>
      <c r="AH18" s="288" t="s">
        <v>211</v>
      </c>
      <c r="AI18" s="288" t="s">
        <v>211</v>
      </c>
      <c r="AJ18" s="288" t="s">
        <v>211</v>
      </c>
      <c r="AK18" s="288" t="s">
        <v>211</v>
      </c>
      <c r="AL18" s="288" t="s">
        <v>211</v>
      </c>
    </row>
    <row r="19" spans="1:38" ht="45.6" customHeight="1" x14ac:dyDescent="0.25">
      <c r="B19" s="45"/>
      <c r="C19" s="45"/>
      <c r="D19" s="45"/>
      <c r="E19" s="49" t="s">
        <v>18</v>
      </c>
      <c r="F19" s="50"/>
      <c r="G19" s="288" t="s">
        <v>212</v>
      </c>
      <c r="H19" s="288" t="s">
        <v>213</v>
      </c>
      <c r="I19" s="288" t="s">
        <v>214</v>
      </c>
      <c r="J19" s="288" t="s">
        <v>215</v>
      </c>
      <c r="K19" s="288" t="s">
        <v>216</v>
      </c>
      <c r="L19" s="288" t="s">
        <v>217</v>
      </c>
      <c r="M19" s="288" t="s">
        <v>218</v>
      </c>
      <c r="N19" s="288" t="s">
        <v>219</v>
      </c>
      <c r="O19" s="288" t="s">
        <v>220</v>
      </c>
      <c r="P19" s="288" t="s">
        <v>221</v>
      </c>
      <c r="Q19" s="288" t="s">
        <v>222</v>
      </c>
      <c r="R19" s="288" t="s">
        <v>223</v>
      </c>
      <c r="S19" s="288" t="s">
        <v>224</v>
      </c>
      <c r="T19" s="288" t="s">
        <v>225</v>
      </c>
      <c r="U19" s="288" t="s">
        <v>226</v>
      </c>
      <c r="V19" s="288" t="s">
        <v>227</v>
      </c>
      <c r="W19" s="288" t="s">
        <v>228</v>
      </c>
      <c r="X19" s="288" t="s">
        <v>229</v>
      </c>
      <c r="Y19" s="288" t="s">
        <v>230</v>
      </c>
      <c r="Z19" s="288" t="s">
        <v>231</v>
      </c>
      <c r="AA19" s="288" t="s">
        <v>232</v>
      </c>
      <c r="AB19" s="288" t="s">
        <v>233</v>
      </c>
      <c r="AC19" s="288" t="s">
        <v>234</v>
      </c>
      <c r="AD19" s="288" t="s">
        <v>235</v>
      </c>
      <c r="AE19" s="288" t="s">
        <v>236</v>
      </c>
      <c r="AF19" s="288" t="s">
        <v>237</v>
      </c>
      <c r="AG19" s="288" t="s">
        <v>238</v>
      </c>
      <c r="AH19" s="288" t="s">
        <v>239</v>
      </c>
      <c r="AI19" s="288" t="s">
        <v>240</v>
      </c>
      <c r="AJ19" s="288" t="s">
        <v>241</v>
      </c>
      <c r="AK19" s="288" t="s">
        <v>242</v>
      </c>
      <c r="AL19" s="288" t="s">
        <v>243</v>
      </c>
    </row>
    <row r="20" spans="1:38" x14ac:dyDescent="0.25">
      <c r="B20" s="45"/>
      <c r="C20" s="45"/>
      <c r="D20" s="45"/>
      <c r="E20" s="46" t="s">
        <v>179</v>
      </c>
      <c r="F20" s="46"/>
      <c r="G20" s="362" t="s">
        <v>244</v>
      </c>
      <c r="H20" s="362" t="s">
        <v>245</v>
      </c>
      <c r="I20" s="362" t="s">
        <v>246</v>
      </c>
      <c r="J20" s="362" t="s">
        <v>247</v>
      </c>
      <c r="K20" s="362" t="s">
        <v>248</v>
      </c>
      <c r="L20" s="362" t="s">
        <v>249</v>
      </c>
      <c r="M20" s="362" t="s">
        <v>250</v>
      </c>
      <c r="N20" s="362" t="s">
        <v>251</v>
      </c>
      <c r="O20" s="362" t="s">
        <v>252</v>
      </c>
      <c r="P20" s="362" t="s">
        <v>253</v>
      </c>
      <c r="Q20" s="362" t="s">
        <v>254</v>
      </c>
      <c r="R20" s="362" t="s">
        <v>255</v>
      </c>
      <c r="S20" s="362" t="s">
        <v>256</v>
      </c>
      <c r="T20" s="362" t="s">
        <v>257</v>
      </c>
      <c r="U20" s="362" t="s">
        <v>258</v>
      </c>
      <c r="V20" s="362" t="s">
        <v>259</v>
      </c>
      <c r="W20" s="362" t="s">
        <v>260</v>
      </c>
      <c r="X20" s="362" t="s">
        <v>261</v>
      </c>
      <c r="Y20" s="362" t="s">
        <v>262</v>
      </c>
      <c r="Z20" s="362" t="s">
        <v>263</v>
      </c>
      <c r="AA20" s="362" t="s">
        <v>264</v>
      </c>
      <c r="AB20" s="362" t="s">
        <v>265</v>
      </c>
      <c r="AC20" s="362" t="s">
        <v>266</v>
      </c>
      <c r="AD20" s="362" t="s">
        <v>267</v>
      </c>
      <c r="AE20" s="362" t="s">
        <v>268</v>
      </c>
      <c r="AF20" s="362" t="s">
        <v>269</v>
      </c>
      <c r="AG20" s="362" t="s">
        <v>270</v>
      </c>
      <c r="AH20" s="362" t="s">
        <v>271</v>
      </c>
      <c r="AI20" s="362" t="s">
        <v>272</v>
      </c>
      <c r="AJ20" s="362" t="s">
        <v>273</v>
      </c>
      <c r="AK20" s="362" t="s">
        <v>274</v>
      </c>
      <c r="AL20" s="362" t="s">
        <v>275</v>
      </c>
    </row>
    <row r="21" spans="1:38" x14ac:dyDescent="0.25">
      <c r="B21" s="45"/>
      <c r="C21" s="45"/>
      <c r="D21" s="45"/>
      <c r="E21" s="46" t="s">
        <v>28</v>
      </c>
      <c r="F21" s="51"/>
      <c r="G21" s="289" t="s">
        <v>276</v>
      </c>
      <c r="H21" s="289" t="s">
        <v>276</v>
      </c>
      <c r="I21" s="289" t="s">
        <v>276</v>
      </c>
      <c r="J21" s="289" t="s">
        <v>276</v>
      </c>
      <c r="K21" s="289" t="s">
        <v>276</v>
      </c>
      <c r="L21" s="289" t="s">
        <v>276</v>
      </c>
      <c r="M21" s="289" t="s">
        <v>276</v>
      </c>
      <c r="N21" s="289" t="s">
        <v>276</v>
      </c>
      <c r="O21" s="289" t="s">
        <v>276</v>
      </c>
      <c r="P21" s="289" t="s">
        <v>276</v>
      </c>
      <c r="Q21" s="289" t="s">
        <v>276</v>
      </c>
      <c r="R21" s="289" t="s">
        <v>276</v>
      </c>
      <c r="S21" s="289" t="s">
        <v>276</v>
      </c>
      <c r="T21" s="289" t="s">
        <v>276</v>
      </c>
      <c r="U21" s="289" t="s">
        <v>276</v>
      </c>
      <c r="V21" s="289" t="s">
        <v>276</v>
      </c>
      <c r="W21" s="289" t="s">
        <v>276</v>
      </c>
      <c r="X21" s="289" t="s">
        <v>276</v>
      </c>
      <c r="Y21" s="289" t="s">
        <v>276</v>
      </c>
      <c r="Z21" s="289" t="s">
        <v>277</v>
      </c>
      <c r="AA21" s="289" t="s">
        <v>277</v>
      </c>
      <c r="AB21" s="289" t="s">
        <v>277</v>
      </c>
      <c r="AC21" s="289" t="s">
        <v>277</v>
      </c>
      <c r="AD21" s="289" t="s">
        <v>277</v>
      </c>
      <c r="AE21" s="289" t="s">
        <v>277</v>
      </c>
      <c r="AF21" s="289" t="s">
        <v>277</v>
      </c>
      <c r="AG21" s="289" t="s">
        <v>277</v>
      </c>
      <c r="AH21" s="289" t="s">
        <v>277</v>
      </c>
      <c r="AI21" s="289" t="s">
        <v>277</v>
      </c>
      <c r="AJ21" s="289" t="s">
        <v>277</v>
      </c>
      <c r="AK21" s="289" t="s">
        <v>277</v>
      </c>
      <c r="AL21" s="289" t="s">
        <v>277</v>
      </c>
    </row>
    <row r="22" spans="1:38" x14ac:dyDescent="0.25">
      <c r="B22" s="45"/>
      <c r="C22" s="45"/>
      <c r="D22" s="45"/>
      <c r="E22" s="257" t="s">
        <v>176</v>
      </c>
      <c r="F22" s="51"/>
      <c r="G22" s="391">
        <v>8.2351525135830217E-2</v>
      </c>
      <c r="H22" s="392"/>
      <c r="I22" s="392"/>
      <c r="J22" s="392"/>
      <c r="K22" s="392"/>
      <c r="L22" s="392"/>
      <c r="M22" s="392"/>
      <c r="N22" s="392"/>
      <c r="O22" s="392"/>
      <c r="P22" s="392"/>
      <c r="Q22" s="392"/>
      <c r="R22" s="392"/>
      <c r="S22" s="392"/>
      <c r="T22" s="392"/>
      <c r="U22" s="392"/>
      <c r="V22" s="392"/>
      <c r="W22" s="392"/>
      <c r="X22" s="392"/>
      <c r="Y22" s="392"/>
      <c r="Z22" s="392"/>
      <c r="AA22" s="392"/>
      <c r="AB22" s="392"/>
      <c r="AC22" s="392"/>
      <c r="AD22" s="392"/>
      <c r="AE22" s="393"/>
      <c r="AF22" s="391">
        <v>7.7860664462778617E-2</v>
      </c>
      <c r="AG22" s="392"/>
      <c r="AH22" s="392"/>
      <c r="AI22" s="392"/>
      <c r="AJ22" s="393"/>
      <c r="AK22" s="391">
        <v>8.7825773259267104E-2</v>
      </c>
      <c r="AL22" s="393"/>
    </row>
    <row r="23" spans="1:38" x14ac:dyDescent="0.25">
      <c r="B23" s="45"/>
      <c r="C23" s="45"/>
      <c r="D23" s="45"/>
      <c r="E23" s="257" t="s">
        <v>177</v>
      </c>
      <c r="F23" s="51"/>
      <c r="G23" s="391">
        <v>0.25919999999999999</v>
      </c>
      <c r="H23" s="392"/>
      <c r="I23" s="392"/>
      <c r="J23" s="392"/>
      <c r="K23" s="392"/>
      <c r="L23" s="392"/>
      <c r="M23" s="392"/>
      <c r="N23" s="392"/>
      <c r="O23" s="392"/>
      <c r="P23" s="392"/>
      <c r="Q23" s="392"/>
      <c r="R23" s="392"/>
      <c r="S23" s="392"/>
      <c r="T23" s="392"/>
      <c r="U23" s="392"/>
      <c r="V23" s="392"/>
      <c r="W23" s="392"/>
      <c r="X23" s="392"/>
      <c r="Y23" s="392"/>
      <c r="Z23" s="392"/>
      <c r="AA23" s="392"/>
      <c r="AB23" s="392"/>
      <c r="AC23" s="392"/>
      <c r="AD23" s="392"/>
      <c r="AE23" s="393"/>
      <c r="AF23" s="391">
        <v>0.24809999999999999</v>
      </c>
      <c r="AG23" s="392"/>
      <c r="AH23" s="392"/>
      <c r="AI23" s="392"/>
      <c r="AJ23" s="393"/>
      <c r="AK23" s="391">
        <v>0.2185</v>
      </c>
      <c r="AL23" s="393"/>
    </row>
    <row r="24" spans="1:38" x14ac:dyDescent="0.25">
      <c r="B24" s="45"/>
      <c r="C24" s="45"/>
      <c r="D24" s="45"/>
      <c r="E24" s="257" t="s">
        <v>175</v>
      </c>
      <c r="F24" s="51"/>
      <c r="G24" s="391">
        <v>0.29909999999999998</v>
      </c>
      <c r="H24" s="392"/>
      <c r="I24" s="392"/>
      <c r="J24" s="392"/>
      <c r="K24" s="392"/>
      <c r="L24" s="392"/>
      <c r="M24" s="392"/>
      <c r="N24" s="392"/>
      <c r="O24" s="392"/>
      <c r="P24" s="392"/>
      <c r="Q24" s="392"/>
      <c r="R24" s="392"/>
      <c r="S24" s="392"/>
      <c r="T24" s="392"/>
      <c r="U24" s="392"/>
      <c r="V24" s="392"/>
      <c r="W24" s="392"/>
      <c r="X24" s="392"/>
      <c r="Y24" s="392"/>
      <c r="Z24" s="392"/>
      <c r="AA24" s="392"/>
      <c r="AB24" s="392"/>
      <c r="AC24" s="392"/>
      <c r="AD24" s="392"/>
      <c r="AE24" s="393"/>
      <c r="AF24" s="391">
        <v>0</v>
      </c>
      <c r="AG24" s="392"/>
      <c r="AH24" s="392"/>
      <c r="AI24" s="392"/>
      <c r="AJ24" s="393"/>
      <c r="AK24" s="391">
        <v>0</v>
      </c>
      <c r="AL24" s="393"/>
    </row>
    <row r="25" spans="1:38" ht="15.6" customHeight="1" x14ac:dyDescent="0.25">
      <c r="B25" s="45"/>
      <c r="C25" s="45"/>
      <c r="D25" s="45"/>
      <c r="E25" s="46" t="s">
        <v>91</v>
      </c>
      <c r="F25" s="51"/>
      <c r="G25" s="330">
        <v>43101</v>
      </c>
      <c r="H25" s="330">
        <v>43101</v>
      </c>
      <c r="I25" s="330">
        <v>43101</v>
      </c>
      <c r="J25" s="330">
        <v>43101</v>
      </c>
      <c r="K25" s="330">
        <v>43101</v>
      </c>
      <c r="L25" s="330">
        <v>43101</v>
      </c>
      <c r="M25" s="330">
        <v>43101</v>
      </c>
      <c r="N25" s="330">
        <v>43101</v>
      </c>
      <c r="O25" s="330">
        <v>43101</v>
      </c>
      <c r="P25" s="330">
        <v>43101</v>
      </c>
      <c r="Q25" s="330">
        <v>43101</v>
      </c>
      <c r="R25" s="330">
        <v>43101</v>
      </c>
      <c r="S25" s="330">
        <v>43101</v>
      </c>
      <c r="T25" s="330">
        <v>43101</v>
      </c>
      <c r="U25" s="330">
        <v>43101</v>
      </c>
      <c r="V25" s="330">
        <v>43101</v>
      </c>
      <c r="W25" s="330">
        <v>43101</v>
      </c>
      <c r="X25" s="330">
        <v>43101</v>
      </c>
      <c r="Y25" s="330">
        <v>43101</v>
      </c>
      <c r="Z25" s="330">
        <v>43101</v>
      </c>
      <c r="AA25" s="330">
        <v>43101</v>
      </c>
      <c r="AB25" s="330">
        <v>43101</v>
      </c>
      <c r="AC25" s="330">
        <v>43101</v>
      </c>
      <c r="AD25" s="330">
        <v>43101</v>
      </c>
      <c r="AE25" s="330">
        <v>43101</v>
      </c>
      <c r="AF25" s="330">
        <v>43101</v>
      </c>
      <c r="AG25" s="330">
        <v>43101</v>
      </c>
      <c r="AH25" s="330">
        <v>43101</v>
      </c>
      <c r="AI25" s="330">
        <v>43101</v>
      </c>
      <c r="AJ25" s="330">
        <v>43101</v>
      </c>
      <c r="AK25" s="330">
        <v>43101</v>
      </c>
      <c r="AL25" s="330">
        <v>43101</v>
      </c>
    </row>
    <row r="26" spans="1:38" ht="16.899999999999999" customHeight="1" x14ac:dyDescent="0.25">
      <c r="B26" s="45"/>
      <c r="C26" s="45"/>
      <c r="D26" s="45"/>
      <c r="E26" s="52" t="s">
        <v>81</v>
      </c>
      <c r="F26" s="53"/>
      <c r="G26" s="337">
        <v>0.28413808636355792</v>
      </c>
      <c r="H26" s="337">
        <v>0.34102200916871328</v>
      </c>
      <c r="I26" s="337">
        <v>0.30602798812102561</v>
      </c>
      <c r="J26" s="337">
        <v>0.32764120931441948</v>
      </c>
      <c r="K26" s="337">
        <v>0.31992737255259102</v>
      </c>
      <c r="L26" s="337">
        <v>0.30870549937012171</v>
      </c>
      <c r="M26" s="337">
        <v>0.31264321643860227</v>
      </c>
      <c r="N26" s="337">
        <v>0</v>
      </c>
      <c r="O26" s="337">
        <v>0</v>
      </c>
      <c r="P26" s="337">
        <v>0.30386714293227657</v>
      </c>
      <c r="Q26" s="337">
        <v>0.26694706751066016</v>
      </c>
      <c r="R26" s="337">
        <v>0.30454754166112968</v>
      </c>
      <c r="S26" s="337">
        <v>0.26146968849976887</v>
      </c>
      <c r="T26" s="337">
        <v>0.27480522069047908</v>
      </c>
      <c r="U26" s="337">
        <v>0.28310458896616314</v>
      </c>
      <c r="V26" s="337">
        <v>0</v>
      </c>
      <c r="W26" s="337">
        <v>0</v>
      </c>
      <c r="X26" s="337">
        <v>0</v>
      </c>
      <c r="Y26" s="337">
        <v>0</v>
      </c>
      <c r="Z26" s="337">
        <v>0</v>
      </c>
      <c r="AA26" s="337">
        <v>0</v>
      </c>
      <c r="AB26" s="337">
        <v>0</v>
      </c>
      <c r="AC26" s="337">
        <v>0</v>
      </c>
      <c r="AD26" s="337">
        <v>0</v>
      </c>
      <c r="AE26" s="337">
        <v>0</v>
      </c>
      <c r="AF26" s="337">
        <v>0</v>
      </c>
      <c r="AG26" s="337">
        <v>0</v>
      </c>
      <c r="AH26" s="337">
        <v>0</v>
      </c>
      <c r="AI26" s="337">
        <v>0</v>
      </c>
      <c r="AJ26" s="337">
        <v>0</v>
      </c>
      <c r="AK26" s="337">
        <v>0</v>
      </c>
      <c r="AL26" s="337">
        <v>0</v>
      </c>
    </row>
    <row r="27" spans="1:38" x14ac:dyDescent="0.25">
      <c r="B27" s="45"/>
      <c r="C27" s="45"/>
      <c r="D27" s="45"/>
      <c r="E27" s="54" t="s">
        <v>82</v>
      </c>
      <c r="F27" s="55"/>
      <c r="G27" s="337">
        <v>0.28413808636355808</v>
      </c>
      <c r="H27" s="337">
        <v>0.34102200916871328</v>
      </c>
      <c r="I27" s="337">
        <v>0.30602798812102577</v>
      </c>
      <c r="J27" s="337">
        <v>0.32764120931441931</v>
      </c>
      <c r="K27" s="337">
        <v>0.31992737255259102</v>
      </c>
      <c r="L27" s="337">
        <v>0.30870549937012171</v>
      </c>
      <c r="M27" s="337">
        <v>0.31264321643860227</v>
      </c>
      <c r="N27" s="337">
        <v>0</v>
      </c>
      <c r="O27" s="337">
        <v>0</v>
      </c>
      <c r="P27" s="337">
        <v>0.30386714293227657</v>
      </c>
      <c r="Q27" s="337">
        <v>0.26694706751066016</v>
      </c>
      <c r="R27" s="337">
        <v>0.30454754166112968</v>
      </c>
      <c r="S27" s="337">
        <v>0.26146968849976887</v>
      </c>
      <c r="T27" s="337">
        <v>0.27480522069047908</v>
      </c>
      <c r="U27" s="337">
        <v>0.28310458896616314</v>
      </c>
      <c r="V27" s="337">
        <v>0</v>
      </c>
      <c r="W27" s="337">
        <v>0</v>
      </c>
      <c r="X27" s="337">
        <v>0</v>
      </c>
      <c r="Y27" s="337">
        <v>0</v>
      </c>
      <c r="Z27" s="337">
        <v>0</v>
      </c>
      <c r="AA27" s="337">
        <v>0</v>
      </c>
      <c r="AB27" s="337">
        <v>0</v>
      </c>
      <c r="AC27" s="337">
        <v>0</v>
      </c>
      <c r="AD27" s="337">
        <v>0</v>
      </c>
      <c r="AE27" s="337">
        <v>0</v>
      </c>
      <c r="AF27" s="337">
        <v>0</v>
      </c>
      <c r="AG27" s="337">
        <v>0</v>
      </c>
      <c r="AH27" s="337">
        <v>0</v>
      </c>
      <c r="AI27" s="337">
        <v>0</v>
      </c>
      <c r="AJ27" s="337">
        <v>0</v>
      </c>
      <c r="AK27" s="337">
        <v>0</v>
      </c>
      <c r="AL27" s="337">
        <v>0</v>
      </c>
    </row>
    <row r="28" spans="1:38" x14ac:dyDescent="0.25">
      <c r="B28" s="45"/>
      <c r="C28" s="45"/>
      <c r="D28" s="45"/>
      <c r="E28" s="54" t="s">
        <v>83</v>
      </c>
      <c r="F28" s="55"/>
      <c r="G28" s="338">
        <f>+G81/G55-1</f>
        <v>0.62830182740238372</v>
      </c>
      <c r="H28" s="338">
        <f>+H81/H55-1</f>
        <v>0.79325856711940324</v>
      </c>
      <c r="I28" s="338">
        <f>+I81/I55-1</f>
        <v>0.82906034247475113</v>
      </c>
      <c r="J28" s="338">
        <f>+J81/J55-1</f>
        <v>0.84943238849099556</v>
      </c>
      <c r="K28" s="338">
        <f>+K81/K55-1</f>
        <v>0.83772443445184752</v>
      </c>
      <c r="L28" s="338">
        <f>+L81/L55-1</f>
        <v>0.80333144661907707</v>
      </c>
      <c r="M28" s="338">
        <f>+M81/M55-1</f>
        <v>0.81305961021316397</v>
      </c>
      <c r="N28" s="338" t="e">
        <f>+N81/N55-1</f>
        <v>#DIV/0!</v>
      </c>
      <c r="O28" s="338" t="e">
        <f>+O81/O55-1</f>
        <v>#DIV/0!</v>
      </c>
      <c r="P28" s="338" t="e">
        <f>+P81/P55-1</f>
        <v>#DIV/0!</v>
      </c>
      <c r="Q28" s="338" t="e">
        <f>+Q81/Q55-1</f>
        <v>#DIV/0!</v>
      </c>
      <c r="R28" s="338">
        <f>+R81/R55-1</f>
        <v>0.65122256191748096</v>
      </c>
      <c r="S28" s="338">
        <f>+S81/S55-1</f>
        <v>0.63001601219008463</v>
      </c>
      <c r="T28" s="338">
        <f>+T81/T55-1</f>
        <v>0.68483073201717182</v>
      </c>
      <c r="U28" s="338">
        <f>+U81/U55-1</f>
        <v>0.67950022491733764</v>
      </c>
      <c r="V28" s="338" t="e">
        <f>+V81/V55-1</f>
        <v>#DIV/0!</v>
      </c>
      <c r="W28" s="338" t="e">
        <f>+W81/W55-1</f>
        <v>#DIV/0!</v>
      </c>
      <c r="X28" s="338" t="e">
        <f>+X81/X55-1</f>
        <v>#DIV/0!</v>
      </c>
      <c r="Y28" s="338" t="e">
        <f>+Y81/Y55-1</f>
        <v>#DIV/0!</v>
      </c>
      <c r="Z28" s="338">
        <f>+Z81/Z55-1</f>
        <v>-1</v>
      </c>
      <c r="AA28" s="338">
        <f>+AA81/AA55-1</f>
        <v>-1</v>
      </c>
      <c r="AB28" s="338">
        <f>+AB81/AB55-1</f>
        <v>-1</v>
      </c>
      <c r="AC28" s="338">
        <f>+AC81/AC55-1</f>
        <v>-1</v>
      </c>
      <c r="AD28" s="338">
        <f>+AD81/AD55-1</f>
        <v>-1</v>
      </c>
      <c r="AE28" s="338">
        <f>+AE81/AE55-1</f>
        <v>-1</v>
      </c>
      <c r="AF28" s="338" t="e">
        <f>+AF81/AF55-1</f>
        <v>#DIV/0!</v>
      </c>
      <c r="AG28" s="338" t="e">
        <f>+AG81/AG55-1</f>
        <v>#DIV/0!</v>
      </c>
      <c r="AH28" s="338">
        <f>+AH81/AH55-1</f>
        <v>-1</v>
      </c>
      <c r="AI28" s="338">
        <f>+AI81/AI55-1</f>
        <v>-1</v>
      </c>
      <c r="AJ28" s="338">
        <f>+AJ81/AJ55-1</f>
        <v>-1</v>
      </c>
      <c r="AK28" s="338">
        <f>+AK81/AK55-1</f>
        <v>-1</v>
      </c>
      <c r="AL28" s="338">
        <f>+AL81/AL55-1</f>
        <v>-1</v>
      </c>
    </row>
    <row r="29" spans="1:38" x14ac:dyDescent="0.25">
      <c r="B29" s="45"/>
      <c r="C29" s="45"/>
      <c r="D29" s="45"/>
      <c r="E29" s="38" t="s">
        <v>194</v>
      </c>
      <c r="F29" s="38"/>
      <c r="G29" s="394">
        <f t="array" ref="G29">IF(SUMPRODUCT((G17:AE17="Renewing")*((G14:AE14="Platinum")+(G14:AE14="Gold")+(G14:AE14="Silver")+(G14:AE14="Bronze")+(G14:AE14="Catastrophic")))=0, 0, INT(10000 * (SUMPRODUCT(1+G27:AE27,G47:AE47,G48:AE48,--(G17:AE17="Renewing")*((G14:AE14="Platinum")+(G14:AE14="Gold")+(G14:AE14="Silver")+(G14:AE14="Bronze")+(G14:AE14="Catastrophic")))/SUMPRODUCT(G47:AE47,G48:AE48,--(G17:AE17="Renewing")*((G14:AE14="Platinum")+(G14:AE14="Gold")+(G14:AE14="Silver")+(G14:AE14="Bronze")+(G14:AE14="Catastrophic")))-1)) / 10000)</f>
        <v>0.29909999999999998</v>
      </c>
      <c r="H29" s="395"/>
      <c r="I29" s="395"/>
      <c r="J29" s="395"/>
      <c r="K29" s="395"/>
      <c r="L29" s="395"/>
      <c r="M29" s="395"/>
      <c r="N29" s="395"/>
      <c r="O29" s="395"/>
      <c r="P29" s="395"/>
      <c r="Q29" s="395"/>
      <c r="R29" s="395"/>
      <c r="S29" s="395"/>
      <c r="T29" s="395"/>
      <c r="U29" s="395"/>
      <c r="V29" s="395"/>
      <c r="W29" s="395"/>
      <c r="X29" s="395"/>
      <c r="Y29" s="395"/>
      <c r="Z29" s="395"/>
      <c r="AA29" s="395"/>
      <c r="AB29" s="395"/>
      <c r="AC29" s="395"/>
      <c r="AD29" s="395"/>
      <c r="AE29" s="396"/>
      <c r="AF29" s="394">
        <f t="array" ref="AF29">IF(SUMPRODUCT((AF17:AJ17="Renewing")*((AF14:AJ14="Platinum")+(AF14:AJ14="Gold")+(AF14:AJ14="Silver")+(AF14:AJ14="Bronze")+(AF14:AJ14="Catastrophic")))=0, 0, INT(10000 * (SUMPRODUCT(1+AF27:AJ27,AF47:AJ47,AF48:AJ48,--(AF17:AJ17="Renewing")*((AF14:AJ14="Platinum")+(AF14:AJ14="Gold")+(AF14:AJ14="Silver")+(AF14:AJ14="Bronze")+(AF14:AJ14="Catastrophic")))/SUMPRODUCT(AF47:AJ47,AF48:AJ48,--(AF17:AJ17="Renewing")*((AF14:AJ14="Platinum")+(AF14:AJ14="Gold")+(AF14:AJ14="Silver")+(AF14:AJ14="Bronze")+(AF14:AJ14="Catastrophic")))-1)) / 10000)</f>
        <v>0</v>
      </c>
      <c r="AG29" s="395"/>
      <c r="AH29" s="395"/>
      <c r="AI29" s="395"/>
      <c r="AJ29" s="396"/>
      <c r="AK29" s="394">
        <f t="array" ref="AK29">IF(SUMPRODUCT((AK17:AL17="Renewing")*((AK14:AL14="Platinum")+(AK14:AL14="Gold")+(AK14:AL14="Silver")+(AK14:AL14="Bronze")+(AK14:AL14="Catastrophic")))=0, 0, INT(10000 * (SUMPRODUCT(1+AK27:AL27,AK47:AL47,AK48:AL48,--(AK17:AL17="Renewing")*((AK14:AL14="Platinum")+(AK14:AL14="Gold")+(AK14:AL14="Silver")+(AK14:AL14="Bronze")+(AK14:AL14="Catastrophic")))/SUMPRODUCT(AK47:AL47,AK48:AL48,--(AK17:AL17="Renewing")*((AK14:AL14="Platinum")+(AK14:AL14="Gold")+(AK14:AL14="Silver")+(AK14:AL14="Bronze")+(AK14:AL14="Catastrophic")))-1)) / 10000)</f>
        <v>0</v>
      </c>
      <c r="AL29" s="396"/>
    </row>
    <row r="30" spans="1:38" x14ac:dyDescent="0.25">
      <c r="B30" s="45"/>
      <c r="C30" s="45"/>
      <c r="D30" s="45"/>
      <c r="E30" s="86"/>
      <c r="F30" s="45"/>
      <c r="G30" s="331"/>
      <c r="H30" s="331"/>
      <c r="I30" s="331"/>
      <c r="J30" s="331"/>
      <c r="K30" s="331"/>
      <c r="L30" s="331"/>
      <c r="M30" s="331"/>
      <c r="N30" s="331"/>
      <c r="O30" s="331"/>
      <c r="P30" s="331"/>
      <c r="Q30" s="331"/>
      <c r="R30" s="331"/>
      <c r="S30" s="331"/>
      <c r="T30" s="331"/>
      <c r="U30" s="331"/>
      <c r="V30" s="331"/>
      <c r="W30" s="331"/>
      <c r="X30" s="331"/>
      <c r="Y30" s="331"/>
      <c r="Z30" s="331"/>
      <c r="AA30" s="331"/>
      <c r="AB30" s="331"/>
      <c r="AC30" s="331"/>
      <c r="AD30" s="331"/>
      <c r="AE30" s="331"/>
      <c r="AF30" s="331"/>
      <c r="AG30" s="331"/>
      <c r="AH30" s="331"/>
      <c r="AI30" s="331"/>
      <c r="AJ30" s="331"/>
      <c r="AK30" s="331"/>
      <c r="AL30" s="331"/>
    </row>
    <row r="31" spans="1:38" x14ac:dyDescent="0.25">
      <c r="B31" s="45"/>
      <c r="C31" s="45"/>
      <c r="D31" s="45"/>
      <c r="E31" s="56" t="s">
        <v>42</v>
      </c>
      <c r="F31" s="56"/>
      <c r="G31" s="277"/>
      <c r="H31" s="277"/>
      <c r="I31" s="277"/>
      <c r="J31" s="277"/>
      <c r="K31" s="277"/>
      <c r="L31" s="277"/>
      <c r="M31" s="277"/>
      <c r="N31" s="277"/>
      <c r="O31" s="277"/>
      <c r="P31" s="277"/>
      <c r="Q31" s="277"/>
      <c r="R31" s="277"/>
      <c r="S31" s="277"/>
      <c r="T31" s="277"/>
      <c r="U31" s="277"/>
      <c r="V31" s="277"/>
      <c r="W31" s="277"/>
      <c r="X31" s="277"/>
      <c r="Y31" s="277"/>
      <c r="Z31" s="277"/>
      <c r="AA31" s="277"/>
      <c r="AB31" s="277"/>
      <c r="AC31" s="277"/>
      <c r="AD31" s="277"/>
      <c r="AE31" s="277"/>
      <c r="AF31" s="277"/>
      <c r="AG31" s="277"/>
      <c r="AH31" s="277"/>
      <c r="AI31" s="277"/>
      <c r="AJ31" s="277"/>
      <c r="AK31" s="277"/>
      <c r="AL31" s="277"/>
    </row>
    <row r="32" spans="1:38" x14ac:dyDescent="0.25">
      <c r="B32" s="45"/>
      <c r="C32" s="45"/>
      <c r="D32" s="45"/>
      <c r="E32" s="56"/>
      <c r="F32" s="56"/>
      <c r="G32" s="277"/>
      <c r="H32" s="277"/>
      <c r="I32" s="277"/>
      <c r="J32" s="277"/>
      <c r="K32" s="277"/>
      <c r="L32" s="277"/>
      <c r="M32" s="277"/>
      <c r="N32" s="277"/>
      <c r="O32" s="277"/>
      <c r="P32" s="277"/>
      <c r="Q32" s="277"/>
      <c r="R32" s="277"/>
      <c r="S32" s="277"/>
      <c r="T32" s="277"/>
      <c r="U32" s="277"/>
      <c r="V32" s="277"/>
      <c r="W32" s="277"/>
      <c r="X32" s="277"/>
      <c r="Y32" s="277"/>
      <c r="Z32" s="277"/>
      <c r="AA32" s="277"/>
      <c r="AB32" s="277"/>
      <c r="AC32" s="277"/>
      <c r="AD32" s="277"/>
      <c r="AE32" s="277"/>
      <c r="AF32" s="277"/>
      <c r="AG32" s="277"/>
      <c r="AH32" s="277"/>
      <c r="AI32" s="277"/>
      <c r="AJ32" s="277"/>
      <c r="AK32" s="277"/>
      <c r="AL32" s="277"/>
    </row>
    <row r="33" spans="2:42" x14ac:dyDescent="0.25">
      <c r="B33" s="45"/>
      <c r="C33" s="45"/>
      <c r="D33" s="45"/>
      <c r="E33" s="38" t="s">
        <v>179</v>
      </c>
      <c r="F33" s="57" t="s">
        <v>3</v>
      </c>
      <c r="G33" s="285" t="str">
        <f>G20</f>
        <v>76680CO0220030</v>
      </c>
      <c r="H33" s="285" t="str">
        <f>H20</f>
        <v>76680CO0220033</v>
      </c>
      <c r="I33" s="285" t="str">
        <f>I20</f>
        <v>76680CO0220020</v>
      </c>
      <c r="J33" s="285" t="str">
        <f>J20</f>
        <v>76680CO0220023</v>
      </c>
      <c r="K33" s="285" t="str">
        <f>K20</f>
        <v>76680CO0220034</v>
      </c>
      <c r="L33" s="285" t="str">
        <f>L20</f>
        <v>76680CO0220021</v>
      </c>
      <c r="M33" s="285" t="str">
        <f>M20</f>
        <v>76680CO0220022</v>
      </c>
      <c r="N33" s="285" t="str">
        <f>N20</f>
        <v>76680CO0220043</v>
      </c>
      <c r="O33" s="285" t="str">
        <f>O20</f>
        <v>76680CO0220044</v>
      </c>
      <c r="P33" s="285" t="str">
        <f>P20</f>
        <v>76680CO0220040</v>
      </c>
      <c r="Q33" s="285" t="str">
        <f>Q20</f>
        <v>76680CO0220039</v>
      </c>
      <c r="R33" s="285" t="str">
        <f>R20</f>
        <v>76680CO0220031</v>
      </c>
      <c r="S33" s="285" t="str">
        <f>S20</f>
        <v>76680CO0220026</v>
      </c>
      <c r="T33" s="285" t="str">
        <f>T20</f>
        <v>76680CO0220025</v>
      </c>
      <c r="U33" s="285" t="str">
        <f>U20</f>
        <v>76680CO0220027</v>
      </c>
      <c r="V33" s="285" t="str">
        <f>V20</f>
        <v>76680CO0220041</v>
      </c>
      <c r="W33" s="285" t="str">
        <f>W20</f>
        <v>76680CO0220042</v>
      </c>
      <c r="X33" s="285" t="str">
        <f>X20</f>
        <v>76680CO0220048</v>
      </c>
      <c r="Y33" s="285" t="str">
        <f>Y20</f>
        <v>76680CO0220049</v>
      </c>
      <c r="Z33" s="285" t="str">
        <f>Z20</f>
        <v>76680CO0220037</v>
      </c>
      <c r="AA33" s="285" t="str">
        <f>AA20</f>
        <v>76680CO0220036</v>
      </c>
      <c r="AB33" s="285" t="str">
        <f>AB20</f>
        <v>76680CO0220035</v>
      </c>
      <c r="AC33" s="285" t="str">
        <f>AC20</f>
        <v>76680CO0220032</v>
      </c>
      <c r="AD33" s="285" t="str">
        <f>AD20</f>
        <v>76680CO0220028</v>
      </c>
      <c r="AE33" s="285" t="str">
        <f>AE20</f>
        <v>76680CO0220024</v>
      </c>
      <c r="AF33" s="285" t="str">
        <f>AF20</f>
        <v>76680CO0250023</v>
      </c>
      <c r="AG33" s="285" t="str">
        <f>AG20</f>
        <v>76680CO0250024</v>
      </c>
      <c r="AH33" s="285" t="str">
        <f>AH20</f>
        <v>76680CO0250022</v>
      </c>
      <c r="AI33" s="285" t="str">
        <f>AI20</f>
        <v>76680CO0250021</v>
      </c>
      <c r="AJ33" s="285" t="str">
        <f>AJ20</f>
        <v>76680CO0250020</v>
      </c>
      <c r="AK33" s="285" t="str">
        <f>AK20</f>
        <v>76680CO0380005</v>
      </c>
      <c r="AL33" s="285" t="str">
        <f>AL20</f>
        <v>76680CO0380006</v>
      </c>
    </row>
    <row r="34" spans="2:42" x14ac:dyDescent="0.25">
      <c r="B34" s="58"/>
      <c r="C34" s="45"/>
      <c r="D34" s="45"/>
      <c r="E34" s="59" t="s">
        <v>29</v>
      </c>
      <c r="F34" s="269">
        <f>SUMPRODUCT(G34:AL34,$G$56:$AL$56)/$F$56</f>
        <v>37.837423096628854</v>
      </c>
      <c r="G34" s="371">
        <v>15.434703098145091</v>
      </c>
      <c r="H34" s="371">
        <v>54.725224283956649</v>
      </c>
      <c r="I34" s="371">
        <v>44.125354574918696</v>
      </c>
      <c r="J34" s="371">
        <v>54.334389843162754</v>
      </c>
      <c r="K34" s="371">
        <v>57.515714374720197</v>
      </c>
      <c r="L34" s="371">
        <v>44.09313121401987</v>
      </c>
      <c r="M34" s="371">
        <v>47.115090854631575</v>
      </c>
      <c r="N34" s="371">
        <v>0</v>
      </c>
      <c r="O34" s="371">
        <v>0</v>
      </c>
      <c r="P34" s="371">
        <v>62.364882193731603</v>
      </c>
      <c r="Q34" s="371">
        <v>50.860285803976531</v>
      </c>
      <c r="R34" s="371">
        <v>59.543518888099314</v>
      </c>
      <c r="S34" s="371">
        <v>42.978131403949462</v>
      </c>
      <c r="T34" s="371">
        <v>48.879488252990228</v>
      </c>
      <c r="U34" s="371">
        <v>53.181980492243078</v>
      </c>
      <c r="V34" s="371">
        <v>0</v>
      </c>
      <c r="W34" s="371">
        <v>0</v>
      </c>
      <c r="X34" s="371">
        <v>0</v>
      </c>
      <c r="Y34" s="371">
        <v>0</v>
      </c>
      <c r="Z34" s="371">
        <v>0</v>
      </c>
      <c r="AA34" s="371">
        <v>0</v>
      </c>
      <c r="AB34" s="371">
        <v>0</v>
      </c>
      <c r="AC34" s="371">
        <v>0</v>
      </c>
      <c r="AD34" s="371">
        <v>0</v>
      </c>
      <c r="AE34" s="371">
        <v>0</v>
      </c>
      <c r="AF34" s="371">
        <v>0</v>
      </c>
      <c r="AG34" s="371">
        <v>0</v>
      </c>
      <c r="AH34" s="371">
        <v>0</v>
      </c>
      <c r="AI34" s="371">
        <v>0</v>
      </c>
      <c r="AJ34" s="371">
        <v>0</v>
      </c>
      <c r="AK34" s="371">
        <v>0</v>
      </c>
      <c r="AL34" s="371">
        <v>0</v>
      </c>
    </row>
    <row r="35" spans="2:42" x14ac:dyDescent="0.25">
      <c r="B35" s="58"/>
      <c r="C35" s="45"/>
      <c r="D35" s="45"/>
      <c r="E35" s="59" t="s">
        <v>30</v>
      </c>
      <c r="F35" s="269">
        <f>SUMPRODUCT(G35:AL35,$G$56:$AL$56)/$F$56</f>
        <v>37.688489745180803</v>
      </c>
      <c r="G35" s="371">
        <v>15.373949963473581</v>
      </c>
      <c r="H35" s="371">
        <v>54.509818201979513</v>
      </c>
      <c r="I35" s="371">
        <v>43.951671052024089</v>
      </c>
      <c r="J35" s="371">
        <v>54.120522139816217</v>
      </c>
      <c r="K35" s="371">
        <v>57.289324536255769</v>
      </c>
      <c r="L35" s="371">
        <v>43.919574526748328</v>
      </c>
      <c r="M35" s="371">
        <v>46.92963931458246</v>
      </c>
      <c r="N35" s="371">
        <v>0</v>
      </c>
      <c r="O35" s="371">
        <v>0</v>
      </c>
      <c r="P35" s="371">
        <v>62.119405357371598</v>
      </c>
      <c r="Q35" s="371">
        <v>50.660092656545544</v>
      </c>
      <c r="R35" s="371">
        <v>59.309147329487409</v>
      </c>
      <c r="S35" s="371">
        <v>42.808963510760265</v>
      </c>
      <c r="T35" s="371">
        <v>48.687091799775317</v>
      </c>
      <c r="U35" s="371">
        <v>52.972648832126396</v>
      </c>
      <c r="V35" s="371">
        <v>0</v>
      </c>
      <c r="W35" s="371">
        <v>0</v>
      </c>
      <c r="X35" s="371">
        <v>0</v>
      </c>
      <c r="Y35" s="371">
        <v>0</v>
      </c>
      <c r="Z35" s="371">
        <v>0</v>
      </c>
      <c r="AA35" s="371">
        <v>0</v>
      </c>
      <c r="AB35" s="371">
        <v>0</v>
      </c>
      <c r="AC35" s="371">
        <v>0</v>
      </c>
      <c r="AD35" s="371">
        <v>0</v>
      </c>
      <c r="AE35" s="371">
        <v>0</v>
      </c>
      <c r="AF35" s="371">
        <v>0</v>
      </c>
      <c r="AG35" s="371">
        <v>0</v>
      </c>
      <c r="AH35" s="371">
        <v>0</v>
      </c>
      <c r="AI35" s="371">
        <v>0</v>
      </c>
      <c r="AJ35" s="371">
        <v>0</v>
      </c>
      <c r="AK35" s="371">
        <v>0</v>
      </c>
      <c r="AL35" s="371">
        <v>0</v>
      </c>
    </row>
    <row r="36" spans="2:42" x14ac:dyDescent="0.25">
      <c r="B36" s="58"/>
      <c r="C36" s="45"/>
      <c r="D36" s="45"/>
      <c r="E36" s="48" t="s">
        <v>0</v>
      </c>
      <c r="F36" s="269">
        <f>SUMPRODUCT(G36:AL36,$G$56:$AL$56)/$F$56</f>
        <v>30.785146307737786</v>
      </c>
      <c r="G36" s="371">
        <v>12.557926893684916</v>
      </c>
      <c r="H36" s="371">
        <v>44.525337573939368</v>
      </c>
      <c r="I36" s="371">
        <v>35.901110205116133</v>
      </c>
      <c r="J36" s="371">
        <v>44.207348280344611</v>
      </c>
      <c r="K36" s="371">
        <v>46.795725953588359</v>
      </c>
      <c r="L36" s="371">
        <v>35.874892751637226</v>
      </c>
      <c r="M36" s="371">
        <v>38.333608543004075</v>
      </c>
      <c r="N36" s="371">
        <v>0</v>
      </c>
      <c r="O36" s="371">
        <v>0</v>
      </c>
      <c r="P36" s="371">
        <v>50.741088205076892</v>
      </c>
      <c r="Q36" s="371">
        <v>41.38076041093499</v>
      </c>
      <c r="R36" s="371">
        <v>48.445580872842335</v>
      </c>
      <c r="S36" s="371">
        <v>34.967710669008149</v>
      </c>
      <c r="T36" s="371">
        <v>39.769151125138919</v>
      </c>
      <c r="U36" s="371">
        <v>43.269729183402781</v>
      </c>
      <c r="V36" s="371">
        <v>0</v>
      </c>
      <c r="W36" s="371">
        <v>0</v>
      </c>
      <c r="X36" s="371">
        <v>0</v>
      </c>
      <c r="Y36" s="371">
        <v>0</v>
      </c>
      <c r="Z36" s="371">
        <v>0</v>
      </c>
      <c r="AA36" s="371">
        <v>0</v>
      </c>
      <c r="AB36" s="371">
        <v>0</v>
      </c>
      <c r="AC36" s="371">
        <v>0</v>
      </c>
      <c r="AD36" s="371">
        <v>0</v>
      </c>
      <c r="AE36" s="371">
        <v>0</v>
      </c>
      <c r="AF36" s="371">
        <v>0</v>
      </c>
      <c r="AG36" s="371">
        <v>0</v>
      </c>
      <c r="AH36" s="371">
        <v>0</v>
      </c>
      <c r="AI36" s="371">
        <v>0</v>
      </c>
      <c r="AJ36" s="371">
        <v>0</v>
      </c>
      <c r="AK36" s="371">
        <v>0</v>
      </c>
      <c r="AL36" s="371">
        <v>0</v>
      </c>
    </row>
    <row r="37" spans="2:42" x14ac:dyDescent="0.25">
      <c r="B37" s="58"/>
      <c r="C37" s="45"/>
      <c r="D37" s="45"/>
      <c r="E37" s="60" t="s">
        <v>31</v>
      </c>
      <c r="F37" s="269">
        <f>SUMPRODUCT(G37:AL37,$G$56:$AL$56)/$F$56</f>
        <v>19.99445417267361</v>
      </c>
      <c r="G37" s="371">
        <v>8.1561702279926411</v>
      </c>
      <c r="H37" s="371">
        <v>28.918485971956809</v>
      </c>
      <c r="I37" s="371">
        <v>23.317189906090391</v>
      </c>
      <c r="J37" s="371">
        <v>28.711957073421637</v>
      </c>
      <c r="K37" s="371">
        <v>30.393066471178031</v>
      </c>
      <c r="L37" s="371">
        <v>23.300162094467602</v>
      </c>
      <c r="M37" s="371">
        <v>24.897058198929415</v>
      </c>
      <c r="N37" s="371">
        <v>0</v>
      </c>
      <c r="O37" s="371">
        <v>0</v>
      </c>
      <c r="P37" s="371">
        <v>32.955515385450568</v>
      </c>
      <c r="Q37" s="371">
        <v>26.876134009435074</v>
      </c>
      <c r="R37" s="371">
        <v>31.464620533154093</v>
      </c>
      <c r="S37" s="371">
        <v>22.710962017388916</v>
      </c>
      <c r="T37" s="371">
        <v>25.82941986726432</v>
      </c>
      <c r="U37" s="371">
        <v>28.102988648265409</v>
      </c>
      <c r="V37" s="371">
        <v>0</v>
      </c>
      <c r="W37" s="371">
        <v>0</v>
      </c>
      <c r="X37" s="371">
        <v>0</v>
      </c>
      <c r="Y37" s="371">
        <v>0</v>
      </c>
      <c r="Z37" s="371">
        <v>0</v>
      </c>
      <c r="AA37" s="371">
        <v>0</v>
      </c>
      <c r="AB37" s="371">
        <v>0</v>
      </c>
      <c r="AC37" s="371">
        <v>0</v>
      </c>
      <c r="AD37" s="371">
        <v>0</v>
      </c>
      <c r="AE37" s="371">
        <v>0</v>
      </c>
      <c r="AF37" s="371">
        <v>0</v>
      </c>
      <c r="AG37" s="371">
        <v>0</v>
      </c>
      <c r="AH37" s="371">
        <v>0</v>
      </c>
      <c r="AI37" s="371">
        <v>0</v>
      </c>
      <c r="AJ37" s="371">
        <v>0</v>
      </c>
      <c r="AK37" s="371">
        <v>0</v>
      </c>
      <c r="AL37" s="371">
        <v>0</v>
      </c>
    </row>
    <row r="38" spans="2:42" x14ac:dyDescent="0.25">
      <c r="B38" s="58"/>
      <c r="C38" s="45"/>
      <c r="D38" s="45"/>
      <c r="E38" s="48" t="s">
        <v>32</v>
      </c>
      <c r="F38" s="269">
        <f>SUMPRODUCT(G38:AL38,$G$56:$AL$56)/$F$56</f>
        <v>1.9960700213876879</v>
      </c>
      <c r="G38" s="371">
        <v>0.81424012582854799</v>
      </c>
      <c r="H38" s="371">
        <v>2.8869666765614315</v>
      </c>
      <c r="I38" s="371">
        <v>2.3277826617623063</v>
      </c>
      <c r="J38" s="371">
        <v>2.8663486522154762</v>
      </c>
      <c r="K38" s="371">
        <v>3.0341757928093291</v>
      </c>
      <c r="L38" s="371">
        <v>2.3260827551773824</v>
      </c>
      <c r="M38" s="371">
        <v>2.4855027830440783</v>
      </c>
      <c r="N38" s="371">
        <v>0</v>
      </c>
      <c r="O38" s="371">
        <v>0</v>
      </c>
      <c r="P38" s="371">
        <v>3.2899881003094396</v>
      </c>
      <c r="Q38" s="371">
        <v>2.6830762632345433</v>
      </c>
      <c r="R38" s="371">
        <v>3.1411503028877212</v>
      </c>
      <c r="S38" s="371">
        <v>2.2672622142264105</v>
      </c>
      <c r="T38" s="371">
        <v>2.5785815517457431</v>
      </c>
      <c r="U38" s="371">
        <v>2.8055546136821663</v>
      </c>
      <c r="V38" s="371">
        <v>0</v>
      </c>
      <c r="W38" s="371">
        <v>0</v>
      </c>
      <c r="X38" s="371">
        <v>0</v>
      </c>
      <c r="Y38" s="371">
        <v>0</v>
      </c>
      <c r="Z38" s="371">
        <v>0</v>
      </c>
      <c r="AA38" s="371">
        <v>0</v>
      </c>
      <c r="AB38" s="371">
        <v>0</v>
      </c>
      <c r="AC38" s="371">
        <v>0</v>
      </c>
      <c r="AD38" s="371">
        <v>0</v>
      </c>
      <c r="AE38" s="371">
        <v>0</v>
      </c>
      <c r="AF38" s="371">
        <v>0</v>
      </c>
      <c r="AG38" s="371">
        <v>0</v>
      </c>
      <c r="AH38" s="371">
        <v>0</v>
      </c>
      <c r="AI38" s="371">
        <v>0</v>
      </c>
      <c r="AJ38" s="371">
        <v>0</v>
      </c>
      <c r="AK38" s="371">
        <v>0</v>
      </c>
      <c r="AL38" s="371">
        <v>0</v>
      </c>
    </row>
    <row r="39" spans="2:42" x14ac:dyDescent="0.25">
      <c r="B39" s="58"/>
      <c r="C39" s="45"/>
      <c r="D39" s="45"/>
      <c r="E39" s="60" t="s">
        <v>1</v>
      </c>
      <c r="F39" s="269">
        <f>SUMPRODUCT(G39:AL39,$G$56:$AL$56)/$F$56</f>
        <v>0.39518770135697073</v>
      </c>
      <c r="G39" s="371">
        <v>0.16120560913744472</v>
      </c>
      <c r="H39" s="371">
        <v>0.57156999132291197</v>
      </c>
      <c r="I39" s="371">
        <v>0.46086112686614339</v>
      </c>
      <c r="J39" s="371">
        <v>0.5674879753813391</v>
      </c>
      <c r="K39" s="371">
        <v>0.60071487684569225</v>
      </c>
      <c r="L39" s="371">
        <v>0.46052457445634842</v>
      </c>
      <c r="M39" s="371">
        <v>0.49208701148904577</v>
      </c>
      <c r="N39" s="371">
        <v>0</v>
      </c>
      <c r="O39" s="371">
        <v>0</v>
      </c>
      <c r="P39" s="371">
        <v>0.65136133548520914</v>
      </c>
      <c r="Q39" s="371">
        <v>0.53120317908284886</v>
      </c>
      <c r="R39" s="371">
        <v>0.62189399896500441</v>
      </c>
      <c r="S39" s="371">
        <v>0.44887911406572145</v>
      </c>
      <c r="T39" s="371">
        <v>0.51051501464234983</v>
      </c>
      <c r="U39" s="371">
        <v>0.5554517962459582</v>
      </c>
      <c r="V39" s="371">
        <v>0</v>
      </c>
      <c r="W39" s="371">
        <v>0</v>
      </c>
      <c r="X39" s="371">
        <v>0</v>
      </c>
      <c r="Y39" s="371">
        <v>0</v>
      </c>
      <c r="Z39" s="371">
        <v>0</v>
      </c>
      <c r="AA39" s="371">
        <v>0</v>
      </c>
      <c r="AB39" s="371">
        <v>0</v>
      </c>
      <c r="AC39" s="371">
        <v>0</v>
      </c>
      <c r="AD39" s="371">
        <v>0</v>
      </c>
      <c r="AE39" s="371">
        <v>0</v>
      </c>
      <c r="AF39" s="371">
        <v>0</v>
      </c>
      <c r="AG39" s="371">
        <v>0</v>
      </c>
      <c r="AH39" s="371">
        <v>0</v>
      </c>
      <c r="AI39" s="371">
        <v>0</v>
      </c>
      <c r="AJ39" s="371">
        <v>0</v>
      </c>
      <c r="AK39" s="371">
        <v>0</v>
      </c>
      <c r="AL39" s="371">
        <v>0</v>
      </c>
    </row>
    <row r="40" spans="2:42" x14ac:dyDescent="0.25">
      <c r="B40" s="58"/>
      <c r="C40" s="45"/>
      <c r="D40" s="45"/>
      <c r="E40" s="60" t="s">
        <v>33</v>
      </c>
      <c r="F40" s="269">
        <f>SUMPRODUCT(G40:AL40,$G$56:$AL$56)/$F$56</f>
        <v>-13.900778272845622</v>
      </c>
      <c r="G40" s="371">
        <v>-7.5237685992997427</v>
      </c>
      <c r="H40" s="371">
        <v>-16.92520904675915</v>
      </c>
      <c r="I40" s="371">
        <v>-15.965935437164518</v>
      </c>
      <c r="J40" s="371">
        <v>-17.68969302822557</v>
      </c>
      <c r="K40" s="371">
        <v>-18.312764329383278</v>
      </c>
      <c r="L40" s="371">
        <v>-15.677791462681178</v>
      </c>
      <c r="M40" s="371">
        <v>-16.91925635957714</v>
      </c>
      <c r="N40" s="371">
        <v>0</v>
      </c>
      <c r="O40" s="371">
        <v>0</v>
      </c>
      <c r="P40" s="371">
        <v>-34.709232667393167</v>
      </c>
      <c r="Q40" s="371">
        <v>-29.997727984904671</v>
      </c>
      <c r="R40" s="371">
        <v>-24.207053897677184</v>
      </c>
      <c r="S40" s="371">
        <v>-23.498240219720564</v>
      </c>
      <c r="T40" s="371">
        <v>-22.23962487661467</v>
      </c>
      <c r="U40" s="371">
        <v>-23.048064711508701</v>
      </c>
      <c r="V40" s="371">
        <v>0</v>
      </c>
      <c r="W40" s="371">
        <v>0</v>
      </c>
      <c r="X40" s="371">
        <v>0</v>
      </c>
      <c r="Y40" s="371">
        <v>0</v>
      </c>
      <c r="Z40" s="371">
        <v>0</v>
      </c>
      <c r="AA40" s="371">
        <v>0</v>
      </c>
      <c r="AB40" s="371">
        <v>0</v>
      </c>
      <c r="AC40" s="371">
        <v>0</v>
      </c>
      <c r="AD40" s="371">
        <v>0</v>
      </c>
      <c r="AE40" s="371">
        <v>0</v>
      </c>
      <c r="AF40" s="371">
        <v>0</v>
      </c>
      <c r="AG40" s="371">
        <v>0</v>
      </c>
      <c r="AH40" s="371">
        <v>0</v>
      </c>
      <c r="AI40" s="371">
        <v>0</v>
      </c>
      <c r="AJ40" s="371">
        <v>0</v>
      </c>
      <c r="AK40" s="371">
        <v>0</v>
      </c>
      <c r="AL40" s="371">
        <v>0</v>
      </c>
    </row>
    <row r="41" spans="2:42" x14ac:dyDescent="0.25">
      <c r="B41" s="58"/>
      <c r="C41" s="45"/>
      <c r="D41" s="45"/>
      <c r="E41" s="60" t="s">
        <v>103</v>
      </c>
      <c r="F41" s="269">
        <f>SUMPRODUCT(G41:AL41,$G$56:$AL$56)/$F$56</f>
        <v>11.310138735024017</v>
      </c>
      <c r="G41" s="371">
        <v>9.0672469366121575</v>
      </c>
      <c r="H41" s="371">
        <v>17.953578716901081</v>
      </c>
      <c r="I41" s="371">
        <v>12.675528022766413</v>
      </c>
      <c r="J41" s="371">
        <v>13.414096750925797</v>
      </c>
      <c r="K41" s="371">
        <v>13.680509150731718</v>
      </c>
      <c r="L41" s="371">
        <v>12.553509682382881</v>
      </c>
      <c r="M41" s="371">
        <v>13.082955008787911</v>
      </c>
      <c r="N41" s="371">
        <v>0</v>
      </c>
      <c r="O41" s="371">
        <v>0</v>
      </c>
      <c r="P41" s="371">
        <v>18.728861901273866</v>
      </c>
      <c r="Q41" s="371">
        <v>13.170883455564988</v>
      </c>
      <c r="R41" s="371">
        <v>21.749880044048723</v>
      </c>
      <c r="S41" s="371">
        <v>15.875608641209951</v>
      </c>
      <c r="T41" s="371">
        <v>15.343138903523318</v>
      </c>
      <c r="U41" s="371">
        <v>15.690286000620809</v>
      </c>
      <c r="V41" s="371">
        <v>0</v>
      </c>
      <c r="W41" s="371">
        <v>0</v>
      </c>
      <c r="X41" s="371">
        <v>0</v>
      </c>
      <c r="Y41" s="371">
        <v>0</v>
      </c>
      <c r="Z41" s="371">
        <v>0</v>
      </c>
      <c r="AA41" s="371">
        <v>0</v>
      </c>
      <c r="AB41" s="371">
        <v>0</v>
      </c>
      <c r="AC41" s="371">
        <v>0</v>
      </c>
      <c r="AD41" s="371">
        <v>0</v>
      </c>
      <c r="AE41" s="371">
        <v>0</v>
      </c>
      <c r="AF41" s="371">
        <v>0</v>
      </c>
      <c r="AG41" s="371">
        <v>0</v>
      </c>
      <c r="AH41" s="371">
        <v>0</v>
      </c>
      <c r="AI41" s="371">
        <v>0</v>
      </c>
      <c r="AJ41" s="371">
        <v>0</v>
      </c>
      <c r="AK41" s="371">
        <v>0</v>
      </c>
      <c r="AL41" s="371">
        <v>0</v>
      </c>
    </row>
    <row r="42" spans="2:42" x14ac:dyDescent="0.25">
      <c r="B42" s="58"/>
      <c r="C42" s="45"/>
      <c r="D42" s="45"/>
      <c r="E42" s="60" t="s">
        <v>34</v>
      </c>
      <c r="F42" s="269">
        <f>SUMPRODUCT(G42:AL42,$G$56:$AL$56)/$F$56</f>
        <v>3.326506340409968</v>
      </c>
      <c r="G42" s="371">
        <v>2.7116385570454522</v>
      </c>
      <c r="H42" s="371">
        <v>4.4464839355274144</v>
      </c>
      <c r="I42" s="371">
        <v>3.82285650236153</v>
      </c>
      <c r="J42" s="371">
        <v>4.0499749387625528</v>
      </c>
      <c r="K42" s="371">
        <v>4.1322337917519416</v>
      </c>
      <c r="L42" s="371">
        <v>3.7852200480797968</v>
      </c>
      <c r="M42" s="371">
        <v>3.9485013174088763</v>
      </c>
      <c r="N42" s="371">
        <v>0</v>
      </c>
      <c r="O42" s="371">
        <v>0</v>
      </c>
      <c r="P42" s="371">
        <v>4.7077358669272691</v>
      </c>
      <c r="Q42" s="371">
        <v>4.056779443934035</v>
      </c>
      <c r="R42" s="371">
        <v>5.4024788594104898</v>
      </c>
      <c r="S42" s="371">
        <v>4.8118665275742671</v>
      </c>
      <c r="T42" s="371">
        <v>4.646791891220893</v>
      </c>
      <c r="U42" s="371">
        <v>4.7534208751580103</v>
      </c>
      <c r="V42" s="371">
        <v>0</v>
      </c>
      <c r="W42" s="371">
        <v>0</v>
      </c>
      <c r="X42" s="371">
        <v>0</v>
      </c>
      <c r="Y42" s="371">
        <v>0</v>
      </c>
      <c r="Z42" s="371">
        <v>0</v>
      </c>
      <c r="AA42" s="371">
        <v>0</v>
      </c>
      <c r="AB42" s="371">
        <v>0</v>
      </c>
      <c r="AC42" s="371">
        <v>0</v>
      </c>
      <c r="AD42" s="371">
        <v>0</v>
      </c>
      <c r="AE42" s="371">
        <v>0</v>
      </c>
      <c r="AF42" s="371">
        <v>0</v>
      </c>
      <c r="AG42" s="371">
        <v>0</v>
      </c>
      <c r="AH42" s="371">
        <v>0</v>
      </c>
      <c r="AI42" s="371">
        <v>0</v>
      </c>
      <c r="AJ42" s="371">
        <v>0</v>
      </c>
      <c r="AK42" s="371">
        <v>0</v>
      </c>
      <c r="AL42" s="371">
        <v>0</v>
      </c>
      <c r="AN42" s="211"/>
      <c r="AO42" s="211"/>
    </row>
    <row r="43" spans="2:42" x14ac:dyDescent="0.25">
      <c r="B43" s="45"/>
      <c r="C43" s="45"/>
      <c r="D43" s="45"/>
      <c r="E43" s="46" t="s">
        <v>43</v>
      </c>
      <c r="F43" s="269">
        <f>SUMPRODUCT(G43:AL43,$G$56:$AL$56)/$F$56</f>
        <v>129.43263784755408</v>
      </c>
      <c r="G43" s="269">
        <f>SUM(G34:G42)</f>
        <v>56.753312812620088</v>
      </c>
      <c r="H43" s="269">
        <f>SUM(H34:H42)</f>
        <v>191.61225630538604</v>
      </c>
      <c r="I43" s="269">
        <f>SUM(I34:I42)</f>
        <v>150.61641861474118</v>
      </c>
      <c r="J43" s="269">
        <f>SUM(J34:J42)</f>
        <v>184.58243262580481</v>
      </c>
      <c r="K43" s="269">
        <f>SUM(K34:K42)</f>
        <v>195.12870061849776</v>
      </c>
      <c r="L43" s="269">
        <f>SUM(L34:L42)</f>
        <v>150.63530618428825</v>
      </c>
      <c r="M43" s="269">
        <f>SUM(M34:M42)</f>
        <v>160.3651866723003</v>
      </c>
      <c r="N43" s="269">
        <f>SUM(N34:N42)</f>
        <v>0</v>
      </c>
      <c r="O43" s="269">
        <f>SUM(O34:O42)</f>
        <v>0</v>
      </c>
      <c r="P43" s="269">
        <f>SUM(P34:P42)</f>
        <v>200.84960567823325</v>
      </c>
      <c r="Q43" s="269">
        <f>SUM(Q34:Q42)</f>
        <v>160.22148723780384</v>
      </c>
      <c r="R43" s="269">
        <f>SUM(R34:R42)</f>
        <v>205.47121693121787</v>
      </c>
      <c r="S43" s="269">
        <f>SUM(S34:S42)</f>
        <v>143.37114387846256</v>
      </c>
      <c r="T43" s="269">
        <f>SUM(T34:T42)</f>
        <v>164.0045535296864</v>
      </c>
      <c r="U43" s="269">
        <f>SUM(U34:U42)</f>
        <v>178.28399573023589</v>
      </c>
      <c r="V43" s="269">
        <f>SUM(V34:V42)</f>
        <v>0</v>
      </c>
      <c r="W43" s="269">
        <f>SUM(W34:W42)</f>
        <v>0</v>
      </c>
      <c r="X43" s="269">
        <f>SUM(X34:X42)</f>
        <v>0</v>
      </c>
      <c r="Y43" s="269">
        <f>SUM(Y34:Y42)</f>
        <v>0</v>
      </c>
      <c r="Z43" s="269">
        <f>SUM(Z34:Z42)</f>
        <v>0</v>
      </c>
      <c r="AA43" s="269">
        <f>SUM(AA34:AA42)</f>
        <v>0</v>
      </c>
      <c r="AB43" s="269">
        <f>SUM(AB34:AB42)</f>
        <v>0</v>
      </c>
      <c r="AC43" s="269">
        <f>SUM(AC34:AC42)</f>
        <v>0</v>
      </c>
      <c r="AD43" s="269">
        <f>SUM(AD34:AD42)</f>
        <v>0</v>
      </c>
      <c r="AE43" s="269">
        <f>SUM(AE34:AE42)</f>
        <v>0</v>
      </c>
      <c r="AF43" s="269">
        <f>SUM(AF34:AF42)</f>
        <v>0</v>
      </c>
      <c r="AG43" s="269">
        <f>SUM(AG34:AG42)</f>
        <v>0</v>
      </c>
      <c r="AH43" s="269">
        <f>SUM(AH34:AH42)</f>
        <v>0</v>
      </c>
      <c r="AI43" s="269">
        <f>SUM(AI34:AI42)</f>
        <v>0</v>
      </c>
      <c r="AJ43" s="269">
        <f>SUM(AJ34:AJ42)</f>
        <v>0</v>
      </c>
      <c r="AK43" s="269">
        <f>SUM(AK34:AK42)</f>
        <v>0</v>
      </c>
      <c r="AL43" s="269">
        <f>SUM(AL34:AL42)</f>
        <v>0</v>
      </c>
      <c r="AN43" s="211"/>
      <c r="AO43" s="58"/>
    </row>
    <row r="44" spans="2:42" x14ac:dyDescent="0.25">
      <c r="B44" s="45"/>
      <c r="C44" s="45"/>
      <c r="D44" s="45"/>
      <c r="E44" s="61" t="s">
        <v>99</v>
      </c>
      <c r="F44" s="269">
        <f>SUMPRODUCT(G44:AL44,$G$56:$AL$56)/$F$56</f>
        <v>-51.335336450094474</v>
      </c>
      <c r="G44" s="268">
        <v>-51.960510802068143</v>
      </c>
      <c r="H44" s="268">
        <v>22.520963976389112</v>
      </c>
      <c r="I44" s="268">
        <v>-65.676530314557397</v>
      </c>
      <c r="J44" s="268">
        <v>-76.723811167675763</v>
      </c>
      <c r="K44" s="268">
        <v>-74.729240661558777</v>
      </c>
      <c r="L44" s="268">
        <v>-63.618141605930532</v>
      </c>
      <c r="M44" s="268">
        <v>-75.417970320458835</v>
      </c>
      <c r="N44" s="268">
        <v>0</v>
      </c>
      <c r="O44" s="268">
        <v>0</v>
      </c>
      <c r="P44" s="268">
        <v>2.8608323034907528</v>
      </c>
      <c r="Q44" s="268">
        <v>-71.521549361322599</v>
      </c>
      <c r="R44" s="268">
        <v>-20.655573128305207</v>
      </c>
      <c r="S44" s="268">
        <v>-87.141725860788085</v>
      </c>
      <c r="T44" s="268">
        <v>-85.167639802164956</v>
      </c>
      <c r="U44" s="268">
        <v>-90.519247719140651</v>
      </c>
      <c r="V44" s="268">
        <v>0</v>
      </c>
      <c r="W44" s="268">
        <v>0</v>
      </c>
      <c r="X44" s="268">
        <v>0</v>
      </c>
      <c r="Y44" s="268">
        <v>0</v>
      </c>
      <c r="Z44" s="268">
        <v>0</v>
      </c>
      <c r="AA44" s="268">
        <v>0</v>
      </c>
      <c r="AB44" s="268">
        <v>0</v>
      </c>
      <c r="AC44" s="268">
        <v>0</v>
      </c>
      <c r="AD44" s="268">
        <v>0</v>
      </c>
      <c r="AE44" s="268">
        <v>0</v>
      </c>
      <c r="AF44" s="268">
        <v>0</v>
      </c>
      <c r="AG44" s="268">
        <v>0</v>
      </c>
      <c r="AH44" s="268">
        <v>0</v>
      </c>
      <c r="AI44" s="268">
        <v>0</v>
      </c>
      <c r="AJ44" s="268">
        <v>0</v>
      </c>
      <c r="AK44" s="268">
        <v>0</v>
      </c>
      <c r="AL44" s="268">
        <v>0</v>
      </c>
    </row>
    <row r="45" spans="2:42" x14ac:dyDescent="0.25">
      <c r="B45" s="45"/>
      <c r="C45" s="45"/>
      <c r="D45" s="45"/>
      <c r="E45" s="62"/>
      <c r="F45" s="63"/>
      <c r="G45" s="6"/>
      <c r="H45" s="6"/>
      <c r="I45" s="6"/>
      <c r="J45" s="6"/>
      <c r="K45" s="6"/>
      <c r="L45" s="6"/>
      <c r="M45" s="6"/>
      <c r="N45" s="6"/>
      <c r="O45" s="6"/>
      <c r="P45" s="6"/>
      <c r="Q45" s="6"/>
      <c r="R45" s="6"/>
      <c r="S45" s="6"/>
      <c r="T45" s="6"/>
      <c r="U45" s="6"/>
      <c r="V45" s="6"/>
      <c r="W45" s="6"/>
      <c r="X45" s="6"/>
      <c r="Y45" s="6"/>
      <c r="Z45" s="6"/>
      <c r="AA45" s="6"/>
      <c r="AB45" s="6"/>
      <c r="AC45" s="6"/>
      <c r="AD45" s="6"/>
      <c r="AE45" s="6"/>
      <c r="AF45" s="6"/>
      <c r="AG45" s="6"/>
      <c r="AH45" s="6"/>
      <c r="AI45" s="6"/>
      <c r="AJ45" s="6"/>
      <c r="AK45" s="6"/>
      <c r="AL45" s="6"/>
      <c r="AN45" s="211"/>
      <c r="AO45" s="211"/>
      <c r="AP45" s="211"/>
    </row>
    <row r="46" spans="2:42" x14ac:dyDescent="0.25">
      <c r="B46" s="45"/>
      <c r="C46" s="45"/>
      <c r="D46" s="45"/>
      <c r="E46" s="45"/>
      <c r="F46" s="45"/>
      <c r="G46" s="277"/>
      <c r="H46" s="277"/>
      <c r="I46" s="277"/>
      <c r="J46" s="277"/>
      <c r="K46" s="277"/>
      <c r="L46" s="277"/>
      <c r="M46" s="277"/>
      <c r="N46" s="277"/>
      <c r="O46" s="277"/>
      <c r="P46" s="277"/>
      <c r="Q46" s="277"/>
      <c r="R46" s="277"/>
      <c r="S46" s="277"/>
      <c r="T46" s="277"/>
      <c r="U46" s="277"/>
      <c r="V46" s="277"/>
      <c r="W46" s="277"/>
      <c r="X46" s="277"/>
      <c r="Y46" s="277"/>
      <c r="Z46" s="277"/>
      <c r="AA46" s="277"/>
      <c r="AB46" s="277"/>
      <c r="AC46" s="277"/>
      <c r="AD46" s="277"/>
      <c r="AE46" s="277"/>
      <c r="AF46" s="277"/>
      <c r="AG46" s="277"/>
      <c r="AH46" s="277"/>
      <c r="AI46" s="277"/>
      <c r="AJ46" s="277"/>
      <c r="AK46" s="277"/>
      <c r="AL46" s="277"/>
    </row>
    <row r="47" spans="2:42" x14ac:dyDescent="0.25">
      <c r="B47" s="45"/>
      <c r="C47" s="45"/>
      <c r="D47" s="45"/>
      <c r="E47" s="64" t="s">
        <v>36</v>
      </c>
      <c r="F47" s="359">
        <f>SUMPRODUCT(G47:AL47,G48:AL48)/SUM(G48:AL48)</f>
        <v>498.72063307171084</v>
      </c>
      <c r="G47" s="343">
        <v>199.73849172758764</v>
      </c>
      <c r="H47" s="343">
        <v>561.87650988411724</v>
      </c>
      <c r="I47" s="343">
        <v>492.16550270289838</v>
      </c>
      <c r="J47" s="343">
        <v>563.3675721440494</v>
      </c>
      <c r="K47" s="343">
        <v>609.915616352651</v>
      </c>
      <c r="L47" s="343">
        <v>487.95796152528015</v>
      </c>
      <c r="M47" s="343">
        <v>512.9335237113429</v>
      </c>
      <c r="N47" s="343">
        <v>0</v>
      </c>
      <c r="O47" s="343">
        <v>0</v>
      </c>
      <c r="P47" s="343">
        <v>660.97835962145143</v>
      </c>
      <c r="Q47" s="343">
        <v>600.19946550417035</v>
      </c>
      <c r="R47" s="343">
        <v>674.67698412698371</v>
      </c>
      <c r="S47" s="343">
        <v>548.3279714030383</v>
      </c>
      <c r="T47" s="343">
        <v>596.80290322580663</v>
      </c>
      <c r="U47" s="343">
        <v>629.746046792426</v>
      </c>
      <c r="V47" s="343">
        <v>0</v>
      </c>
      <c r="W47" s="343">
        <v>0</v>
      </c>
      <c r="X47" s="343">
        <v>0</v>
      </c>
      <c r="Y47" s="343">
        <v>0</v>
      </c>
      <c r="Z47" s="343">
        <v>0</v>
      </c>
      <c r="AA47" s="343">
        <v>0</v>
      </c>
      <c r="AB47" s="343">
        <v>0</v>
      </c>
      <c r="AC47" s="343">
        <v>0</v>
      </c>
      <c r="AD47" s="343">
        <v>0</v>
      </c>
      <c r="AE47" s="343">
        <v>0</v>
      </c>
      <c r="AF47" s="343">
        <v>0</v>
      </c>
      <c r="AG47" s="343">
        <v>0</v>
      </c>
      <c r="AH47" s="343">
        <v>0</v>
      </c>
      <c r="AI47" s="343">
        <v>0</v>
      </c>
      <c r="AJ47" s="343">
        <v>0</v>
      </c>
      <c r="AK47" s="343">
        <v>0</v>
      </c>
      <c r="AL47" s="343">
        <v>0</v>
      </c>
      <c r="AO47" s="58"/>
      <c r="AP47" s="58"/>
    </row>
    <row r="48" spans="2:42" x14ac:dyDescent="0.25">
      <c r="B48" s="45"/>
      <c r="C48" s="45"/>
      <c r="D48" s="45"/>
      <c r="E48" s="64" t="s">
        <v>6</v>
      </c>
      <c r="F48" s="357">
        <f>SUM(G48:AL48)</f>
        <v>503998</v>
      </c>
      <c r="G48" s="358">
        <v>19138</v>
      </c>
      <c r="H48" s="358">
        <v>13716</v>
      </c>
      <c r="I48" s="358">
        <v>56041</v>
      </c>
      <c r="J48" s="358">
        <v>35324</v>
      </c>
      <c r="K48" s="358">
        <v>18747</v>
      </c>
      <c r="L48" s="358">
        <v>96885</v>
      </c>
      <c r="M48" s="358">
        <v>83575</v>
      </c>
      <c r="N48" s="358">
        <v>183</v>
      </c>
      <c r="O48" s="358">
        <v>183</v>
      </c>
      <c r="P48" s="358">
        <v>5963</v>
      </c>
      <c r="Q48" s="358">
        <v>68646</v>
      </c>
      <c r="R48" s="358">
        <v>3670</v>
      </c>
      <c r="S48" s="358">
        <v>9709</v>
      </c>
      <c r="T48" s="358">
        <v>37266</v>
      </c>
      <c r="U48" s="358">
        <v>24743</v>
      </c>
      <c r="V48" s="358">
        <v>822</v>
      </c>
      <c r="W48" s="358">
        <v>822</v>
      </c>
      <c r="X48" s="358">
        <v>18349</v>
      </c>
      <c r="Y48" s="358">
        <v>459</v>
      </c>
      <c r="Z48" s="358">
        <v>0</v>
      </c>
      <c r="AA48" s="358">
        <v>0</v>
      </c>
      <c r="AB48" s="358">
        <v>0</v>
      </c>
      <c r="AC48" s="358">
        <v>0</v>
      </c>
      <c r="AD48" s="358">
        <v>0</v>
      </c>
      <c r="AE48" s="358">
        <v>0</v>
      </c>
      <c r="AF48" s="358">
        <v>9478</v>
      </c>
      <c r="AG48" s="358">
        <v>279</v>
      </c>
      <c r="AH48" s="358">
        <v>0</v>
      </c>
      <c r="AI48" s="358">
        <v>0</v>
      </c>
      <c r="AJ48" s="358">
        <v>0</v>
      </c>
      <c r="AK48" s="358">
        <v>0</v>
      </c>
      <c r="AL48" s="358">
        <v>0</v>
      </c>
    </row>
    <row r="49" spans="1:39" x14ac:dyDescent="0.25">
      <c r="B49" s="45"/>
      <c r="C49" s="45"/>
      <c r="D49" s="45"/>
      <c r="E49" s="45"/>
      <c r="F49" s="45"/>
      <c r="G49" s="277"/>
      <c r="H49" s="277"/>
      <c r="I49" s="277"/>
      <c r="J49" s="277"/>
      <c r="K49" s="277"/>
      <c r="L49" s="277"/>
      <c r="M49" s="277"/>
      <c r="N49" s="277"/>
      <c r="O49" s="277"/>
      <c r="P49" s="277"/>
      <c r="Q49" s="277"/>
      <c r="R49" s="277"/>
      <c r="S49" s="277"/>
      <c r="T49" s="277"/>
      <c r="U49" s="277"/>
      <c r="V49" s="277"/>
      <c r="W49" s="277"/>
      <c r="X49" s="277"/>
      <c r="Y49" s="277"/>
      <c r="Z49" s="277"/>
      <c r="AA49" s="277"/>
      <c r="AB49" s="277"/>
      <c r="AC49" s="277"/>
      <c r="AD49" s="277"/>
      <c r="AE49" s="277"/>
      <c r="AF49" s="277"/>
      <c r="AG49" s="277"/>
      <c r="AH49" s="277"/>
      <c r="AI49" s="277"/>
      <c r="AJ49" s="277"/>
      <c r="AK49" s="277"/>
      <c r="AL49" s="277"/>
    </row>
    <row r="50" spans="1:39" x14ac:dyDescent="0.25">
      <c r="B50" s="45"/>
      <c r="C50" s="45"/>
      <c r="D50" s="45"/>
      <c r="E50" s="45"/>
      <c r="F50" s="45"/>
      <c r="G50" s="282"/>
      <c r="H50" s="282"/>
      <c r="I50" s="282"/>
      <c r="J50" s="282"/>
      <c r="K50" s="282"/>
      <c r="L50" s="282"/>
      <c r="M50" s="282"/>
      <c r="N50" s="282"/>
      <c r="O50" s="282"/>
      <c r="P50" s="282"/>
      <c r="Q50" s="282"/>
      <c r="R50" s="282"/>
      <c r="S50" s="282"/>
      <c r="T50" s="282"/>
      <c r="U50" s="282"/>
      <c r="V50" s="282"/>
      <c r="W50" s="282"/>
      <c r="X50" s="282"/>
      <c r="Y50" s="282"/>
      <c r="Z50" s="282"/>
      <c r="AA50" s="282"/>
      <c r="AB50" s="282"/>
      <c r="AC50" s="282"/>
      <c r="AD50" s="282"/>
      <c r="AE50" s="282"/>
      <c r="AF50" s="282"/>
      <c r="AG50" s="282"/>
      <c r="AH50" s="282"/>
      <c r="AI50" s="282"/>
      <c r="AJ50" s="282"/>
      <c r="AK50" s="282"/>
      <c r="AL50" s="282"/>
      <c r="AM50" s="115"/>
    </row>
    <row r="51" spans="1:39" ht="15.75" customHeight="1" x14ac:dyDescent="0.25">
      <c r="B51" s="45"/>
      <c r="C51" s="45"/>
      <c r="D51" s="45"/>
      <c r="E51" s="45"/>
      <c r="F51" s="45"/>
      <c r="G51" s="35"/>
      <c r="H51" s="35"/>
      <c r="I51" s="35"/>
      <c r="J51" s="35"/>
      <c r="K51" s="35"/>
      <c r="L51" s="35"/>
      <c r="M51" s="35"/>
      <c r="N51" s="35"/>
      <c r="O51" s="35"/>
      <c r="P51" s="35"/>
      <c r="Q51" s="35"/>
      <c r="R51" s="35"/>
      <c r="S51" s="35"/>
      <c r="T51" s="35"/>
      <c r="U51" s="35"/>
      <c r="V51" s="35"/>
      <c r="W51" s="35"/>
      <c r="X51" s="35"/>
      <c r="Y51" s="35"/>
      <c r="Z51" s="35"/>
      <c r="AA51" s="35"/>
      <c r="AB51" s="35"/>
      <c r="AC51" s="35"/>
      <c r="AD51" s="35"/>
      <c r="AE51" s="35"/>
      <c r="AF51" s="35"/>
      <c r="AG51" s="35"/>
      <c r="AH51" s="35"/>
      <c r="AI51" s="35"/>
      <c r="AJ51" s="35"/>
      <c r="AK51" s="35"/>
      <c r="AL51" s="35"/>
      <c r="AM51" s="183"/>
    </row>
    <row r="52" spans="1:39" x14ac:dyDescent="0.25">
      <c r="B52" s="45"/>
      <c r="C52" s="45"/>
      <c r="D52" s="65" t="s">
        <v>71</v>
      </c>
      <c r="E52" s="45"/>
      <c r="F52" s="45"/>
      <c r="G52" s="283"/>
      <c r="H52" s="283"/>
      <c r="I52" s="283"/>
      <c r="J52" s="283"/>
      <c r="K52" s="283"/>
      <c r="L52" s="283"/>
      <c r="M52" s="283"/>
      <c r="N52" s="283"/>
      <c r="O52" s="283"/>
      <c r="P52" s="283"/>
      <c r="Q52" s="283"/>
      <c r="R52" s="283"/>
      <c r="S52" s="283"/>
      <c r="T52" s="283"/>
      <c r="U52" s="283"/>
      <c r="V52" s="283"/>
      <c r="W52" s="283"/>
      <c r="X52" s="283"/>
      <c r="Y52" s="283"/>
      <c r="Z52" s="283"/>
      <c r="AA52" s="283"/>
      <c r="AB52" s="283"/>
      <c r="AC52" s="283"/>
      <c r="AD52" s="283"/>
      <c r="AE52" s="283"/>
      <c r="AF52" s="283"/>
      <c r="AG52" s="283"/>
      <c r="AH52" s="283"/>
      <c r="AI52" s="283"/>
      <c r="AJ52" s="283"/>
      <c r="AK52" s="283"/>
      <c r="AL52" s="283"/>
      <c r="AM52" s="183"/>
    </row>
    <row r="53" spans="1:39" x14ac:dyDescent="0.25">
      <c r="B53" s="45"/>
      <c r="C53" s="45"/>
      <c r="D53" s="45"/>
      <c r="E53" s="65"/>
      <c r="F53" s="65"/>
      <c r="G53" s="277"/>
      <c r="H53" s="277"/>
      <c r="I53" s="277"/>
      <c r="J53" s="277"/>
      <c r="K53" s="277"/>
      <c r="L53" s="277"/>
      <c r="M53" s="277"/>
      <c r="N53" s="277"/>
      <c r="O53" s="277"/>
      <c r="P53" s="277"/>
      <c r="Q53" s="277"/>
      <c r="R53" s="277"/>
      <c r="S53" s="277"/>
      <c r="T53" s="277"/>
      <c r="U53" s="277"/>
      <c r="V53" s="277"/>
      <c r="W53" s="277"/>
      <c r="X53" s="277"/>
      <c r="Y53" s="277"/>
      <c r="Z53" s="277"/>
      <c r="AA53" s="277"/>
      <c r="AB53" s="277"/>
      <c r="AC53" s="277"/>
      <c r="AD53" s="277"/>
      <c r="AE53" s="277"/>
      <c r="AF53" s="277"/>
      <c r="AG53" s="277"/>
      <c r="AH53" s="277"/>
      <c r="AI53" s="277"/>
      <c r="AJ53" s="277"/>
      <c r="AK53" s="277"/>
      <c r="AL53" s="277"/>
      <c r="AM53" s="183"/>
    </row>
    <row r="54" spans="1:39" ht="17.45" customHeight="1" x14ac:dyDescent="0.25">
      <c r="A54" s="260" t="s">
        <v>92</v>
      </c>
      <c r="B54" s="57" t="s">
        <v>89</v>
      </c>
      <c r="C54" s="45"/>
      <c r="D54" s="38"/>
      <c r="E54" s="38" t="s">
        <v>179</v>
      </c>
      <c r="F54" s="38" t="str">
        <f>F33</f>
        <v>Total</v>
      </c>
      <c r="G54" s="285" t="str">
        <f>G33</f>
        <v>76680CO0220030</v>
      </c>
      <c r="H54" s="285" t="str">
        <f>H33</f>
        <v>76680CO0220033</v>
      </c>
      <c r="I54" s="285" t="str">
        <f>I33</f>
        <v>76680CO0220020</v>
      </c>
      <c r="J54" s="285" t="str">
        <f>J33</f>
        <v>76680CO0220023</v>
      </c>
      <c r="K54" s="285" t="str">
        <f>K33</f>
        <v>76680CO0220034</v>
      </c>
      <c r="L54" s="285" t="str">
        <f>L33</f>
        <v>76680CO0220021</v>
      </c>
      <c r="M54" s="285" t="str">
        <f>M33</f>
        <v>76680CO0220022</v>
      </c>
      <c r="N54" s="285" t="str">
        <f>N33</f>
        <v>76680CO0220043</v>
      </c>
      <c r="O54" s="285" t="str">
        <f>O33</f>
        <v>76680CO0220044</v>
      </c>
      <c r="P54" s="285" t="str">
        <f>P33</f>
        <v>76680CO0220040</v>
      </c>
      <c r="Q54" s="285" t="str">
        <f>Q33</f>
        <v>76680CO0220039</v>
      </c>
      <c r="R54" s="285" t="str">
        <f>R33</f>
        <v>76680CO0220031</v>
      </c>
      <c r="S54" s="285" t="str">
        <f>S33</f>
        <v>76680CO0220026</v>
      </c>
      <c r="T54" s="285" t="str">
        <f>T33</f>
        <v>76680CO0220025</v>
      </c>
      <c r="U54" s="285" t="str">
        <f>U33</f>
        <v>76680CO0220027</v>
      </c>
      <c r="V54" s="285" t="str">
        <f>V33</f>
        <v>76680CO0220041</v>
      </c>
      <c r="W54" s="285" t="str">
        <f>W33</f>
        <v>76680CO0220042</v>
      </c>
      <c r="X54" s="285" t="str">
        <f>X33</f>
        <v>76680CO0220048</v>
      </c>
      <c r="Y54" s="285" t="str">
        <f>Y33</f>
        <v>76680CO0220049</v>
      </c>
      <c r="Z54" s="285" t="str">
        <f>Z33</f>
        <v>76680CO0220037</v>
      </c>
      <c r="AA54" s="285" t="str">
        <f>AA33</f>
        <v>76680CO0220036</v>
      </c>
      <c r="AB54" s="285" t="str">
        <f>AB33</f>
        <v>76680CO0220035</v>
      </c>
      <c r="AC54" s="285" t="str">
        <f>AC33</f>
        <v>76680CO0220032</v>
      </c>
      <c r="AD54" s="285" t="str">
        <f>AD33</f>
        <v>76680CO0220028</v>
      </c>
      <c r="AE54" s="285" t="str">
        <f>AE33</f>
        <v>76680CO0220024</v>
      </c>
      <c r="AF54" s="285" t="str">
        <f>AF33</f>
        <v>76680CO0250023</v>
      </c>
      <c r="AG54" s="285" t="str">
        <f>AG33</f>
        <v>76680CO0250024</v>
      </c>
      <c r="AH54" s="285" t="str">
        <f>AH33</f>
        <v>76680CO0250022</v>
      </c>
      <c r="AI54" s="285" t="str">
        <f>AI33</f>
        <v>76680CO0250021</v>
      </c>
      <c r="AJ54" s="285" t="str">
        <f>AJ33</f>
        <v>76680CO0250020</v>
      </c>
      <c r="AK54" s="285" t="str">
        <f>AK33</f>
        <v>76680CO0380005</v>
      </c>
      <c r="AL54" s="285" t="str">
        <f>AL33</f>
        <v>76680CO0380006</v>
      </c>
      <c r="AM54" s="183"/>
    </row>
    <row r="55" spans="1:39" ht="14.45" customHeight="1" x14ac:dyDescent="0.25">
      <c r="A55" s="259"/>
      <c r="B55" s="375"/>
      <c r="C55" s="45"/>
      <c r="D55" s="379" t="s">
        <v>44</v>
      </c>
      <c r="E55" s="66" t="s">
        <v>187</v>
      </c>
      <c r="F55" s="355">
        <f>SUMPRODUCT(G55:AL55,G56:AL56)/SUM(G56:AL56)</f>
        <v>376.38314928648202</v>
      </c>
      <c r="G55" s="356">
        <v>276.72586421183968</v>
      </c>
      <c r="H55" s="356">
        <v>319.59436414038538</v>
      </c>
      <c r="I55" s="356">
        <v>347.30643085626707</v>
      </c>
      <c r="J55" s="356">
        <v>363.88716623740129</v>
      </c>
      <c r="K55" s="356">
        <v>373.6434360611226</v>
      </c>
      <c r="L55" s="356">
        <v>348.79354399774974</v>
      </c>
      <c r="M55" s="356">
        <v>361.88706991925721</v>
      </c>
      <c r="N55" s="356">
        <v>0</v>
      </c>
      <c r="O55" s="356">
        <v>0</v>
      </c>
      <c r="P55" s="356">
        <v>0</v>
      </c>
      <c r="Q55" s="356">
        <v>0</v>
      </c>
      <c r="R55" s="356">
        <v>421.70889434512839</v>
      </c>
      <c r="S55" s="356">
        <v>490.54015479235659</v>
      </c>
      <c r="T55" s="356">
        <v>458.29994944623991</v>
      </c>
      <c r="U55" s="356">
        <v>470.30442493263769</v>
      </c>
      <c r="V55" s="356">
        <v>0</v>
      </c>
      <c r="W55" s="356">
        <v>0</v>
      </c>
      <c r="X55" s="356">
        <v>0</v>
      </c>
      <c r="Y55" s="356">
        <v>0</v>
      </c>
      <c r="Z55" s="356">
        <v>447.26250011830336</v>
      </c>
      <c r="AA55" s="356">
        <v>609.24634534311292</v>
      </c>
      <c r="AB55" s="356">
        <v>536.52007675032041</v>
      </c>
      <c r="AC55" s="356">
        <v>520.19940096690766</v>
      </c>
      <c r="AD55" s="356">
        <v>489.91667320831988</v>
      </c>
      <c r="AE55" s="356">
        <v>373.33869730170869</v>
      </c>
      <c r="AF55" s="356">
        <v>0</v>
      </c>
      <c r="AG55" s="356">
        <v>0</v>
      </c>
      <c r="AH55" s="356">
        <v>464.82872182787384</v>
      </c>
      <c r="AI55" s="356">
        <v>565.35477748727692</v>
      </c>
      <c r="AJ55" s="356">
        <v>489.73521844206829</v>
      </c>
      <c r="AK55" s="356">
        <v>489.73521844206823</v>
      </c>
      <c r="AL55" s="356">
        <v>565.35477748727692</v>
      </c>
      <c r="AM55" s="183"/>
    </row>
    <row r="56" spans="1:39" ht="17.25" customHeight="1" x14ac:dyDescent="0.25">
      <c r="A56" s="259" t="str">
        <f>IF(ABS(B56/F56-1)&lt;0.02,"OK","WARNING")</f>
        <v>OK</v>
      </c>
      <c r="B56" s="67">
        <f>+'Wksh 1 - Market Experience'!F18</f>
        <v>369896</v>
      </c>
      <c r="C56" s="45"/>
      <c r="D56" s="380"/>
      <c r="E56" s="68" t="s">
        <v>35</v>
      </c>
      <c r="F56" s="353">
        <f>SUM(G56:AL56)</f>
        <v>369752</v>
      </c>
      <c r="G56" s="354">
        <v>28864</v>
      </c>
      <c r="H56" s="354">
        <v>27289</v>
      </c>
      <c r="I56" s="354">
        <v>95438</v>
      </c>
      <c r="J56" s="354">
        <v>20218</v>
      </c>
      <c r="K56" s="354">
        <v>11523</v>
      </c>
      <c r="L56" s="354">
        <v>39882</v>
      </c>
      <c r="M56" s="354">
        <v>49232</v>
      </c>
      <c r="N56" s="354">
        <v>0</v>
      </c>
      <c r="O56" s="354">
        <v>0</v>
      </c>
      <c r="P56" s="354">
        <v>0</v>
      </c>
      <c r="Q56" s="354">
        <v>0</v>
      </c>
      <c r="R56" s="354">
        <v>4470</v>
      </c>
      <c r="S56" s="354">
        <v>5513</v>
      </c>
      <c r="T56" s="354">
        <v>22020</v>
      </c>
      <c r="U56" s="354">
        <v>7926</v>
      </c>
      <c r="V56" s="354">
        <v>0</v>
      </c>
      <c r="W56" s="354">
        <v>0</v>
      </c>
      <c r="X56" s="354">
        <v>0</v>
      </c>
      <c r="Y56" s="354">
        <v>0</v>
      </c>
      <c r="Z56" s="354">
        <v>13523</v>
      </c>
      <c r="AA56" s="354">
        <v>1950</v>
      </c>
      <c r="AB56" s="354">
        <v>8552</v>
      </c>
      <c r="AC56" s="354">
        <v>321</v>
      </c>
      <c r="AD56" s="354">
        <v>2631</v>
      </c>
      <c r="AE56" s="354">
        <v>10457</v>
      </c>
      <c r="AF56" s="354">
        <v>0</v>
      </c>
      <c r="AG56" s="354">
        <v>0</v>
      </c>
      <c r="AH56" s="354">
        <v>7017</v>
      </c>
      <c r="AI56" s="354">
        <v>8045</v>
      </c>
      <c r="AJ56" s="354">
        <v>1500</v>
      </c>
      <c r="AK56" s="354">
        <v>1662</v>
      </c>
      <c r="AL56" s="354">
        <v>1719</v>
      </c>
      <c r="AM56" s="183"/>
    </row>
    <row r="57" spans="1:39" ht="15" customHeight="1" x14ac:dyDescent="0.25">
      <c r="A57" s="259" t="str">
        <f>IF(ABS(B57/F57-1)&lt;0.05,"OK","WARNING")</f>
        <v>OK</v>
      </c>
      <c r="B57" s="69">
        <f>+'Wksh 1 - Market Experience'!F14</f>
        <v>135144269.51835594</v>
      </c>
      <c r="C57" s="45"/>
      <c r="D57" s="380"/>
      <c r="E57" s="70" t="s">
        <v>46</v>
      </c>
      <c r="F57" s="347">
        <f>SUM(G57:AL57)</f>
        <v>135094093.83000001</v>
      </c>
      <c r="G57" s="372">
        <v>4826283.59</v>
      </c>
      <c r="H57" s="372">
        <v>10989857.699999999</v>
      </c>
      <c r="I57" s="372">
        <v>34672756.359999999</v>
      </c>
      <c r="J57" s="372">
        <v>7706688.2800000003</v>
      </c>
      <c r="K57" s="372">
        <v>4828068.9400000004</v>
      </c>
      <c r="L57" s="372">
        <v>13069447.02</v>
      </c>
      <c r="M57" s="372">
        <v>18121755.039999999</v>
      </c>
      <c r="N57" s="372">
        <v>0</v>
      </c>
      <c r="O57" s="372">
        <v>0</v>
      </c>
      <c r="P57" s="372">
        <v>0</v>
      </c>
      <c r="Q57" s="372">
        <v>0</v>
      </c>
      <c r="R57" s="372">
        <v>2400518.29</v>
      </c>
      <c r="S57" s="372">
        <v>2368336.79</v>
      </c>
      <c r="T57" s="372">
        <v>8929719.2400000002</v>
      </c>
      <c r="U57" s="372">
        <v>3284275.67</v>
      </c>
      <c r="V57" s="372">
        <v>0</v>
      </c>
      <c r="W57" s="372">
        <v>0</v>
      </c>
      <c r="X57" s="372">
        <v>0</v>
      </c>
      <c r="Y57" s="372">
        <v>0</v>
      </c>
      <c r="Z57" s="372">
        <v>6238291.8799999999</v>
      </c>
      <c r="AA57" s="372">
        <v>807804.11</v>
      </c>
      <c r="AB57" s="372">
        <v>3416409.92</v>
      </c>
      <c r="AC57" s="372">
        <v>200465.33</v>
      </c>
      <c r="AD57" s="372">
        <v>1307461.07</v>
      </c>
      <c r="AE57" s="372">
        <v>3756850.76</v>
      </c>
      <c r="AF57" s="372">
        <v>0</v>
      </c>
      <c r="AG57" s="372">
        <v>0</v>
      </c>
      <c r="AH57" s="372">
        <v>2554568.4300000002</v>
      </c>
      <c r="AI57" s="372">
        <v>3417670.8</v>
      </c>
      <c r="AJ57" s="372">
        <v>653676.47</v>
      </c>
      <c r="AK57" s="372">
        <v>747208.56</v>
      </c>
      <c r="AL57" s="372">
        <v>795979.58</v>
      </c>
      <c r="AM57" s="183"/>
    </row>
    <row r="58" spans="1:39" ht="29.25" customHeight="1" x14ac:dyDescent="0.25">
      <c r="B58" s="71"/>
      <c r="C58" s="45"/>
      <c r="D58" s="380"/>
      <c r="E58" s="72" t="s">
        <v>188</v>
      </c>
      <c r="F58" s="351">
        <f>SUMPRODUCT($G$57:$AL$57,G58:AL58)/$F$57</f>
        <v>1</v>
      </c>
      <c r="G58" s="270">
        <v>1</v>
      </c>
      <c r="H58" s="270">
        <v>1</v>
      </c>
      <c r="I58" s="270">
        <v>1</v>
      </c>
      <c r="J58" s="270">
        <v>1</v>
      </c>
      <c r="K58" s="270">
        <v>1</v>
      </c>
      <c r="L58" s="270">
        <v>1</v>
      </c>
      <c r="M58" s="270">
        <v>1</v>
      </c>
      <c r="N58" s="270">
        <v>1</v>
      </c>
      <c r="O58" s="270">
        <v>1</v>
      </c>
      <c r="P58" s="270">
        <v>1</v>
      </c>
      <c r="Q58" s="270">
        <v>1</v>
      </c>
      <c r="R58" s="270">
        <v>1</v>
      </c>
      <c r="S58" s="270">
        <v>1</v>
      </c>
      <c r="T58" s="270">
        <v>1</v>
      </c>
      <c r="U58" s="270">
        <v>1</v>
      </c>
      <c r="V58" s="270">
        <v>1</v>
      </c>
      <c r="W58" s="270">
        <v>1</v>
      </c>
      <c r="X58" s="270">
        <v>1</v>
      </c>
      <c r="Y58" s="270">
        <v>1</v>
      </c>
      <c r="Z58" s="270">
        <v>1</v>
      </c>
      <c r="AA58" s="270">
        <v>1</v>
      </c>
      <c r="AB58" s="270">
        <v>1</v>
      </c>
      <c r="AC58" s="270">
        <v>1</v>
      </c>
      <c r="AD58" s="270">
        <v>1</v>
      </c>
      <c r="AE58" s="270">
        <v>1</v>
      </c>
      <c r="AF58" s="270">
        <v>1</v>
      </c>
      <c r="AG58" s="270">
        <v>1</v>
      </c>
      <c r="AH58" s="270">
        <v>1</v>
      </c>
      <c r="AI58" s="270">
        <v>1</v>
      </c>
      <c r="AJ58" s="270">
        <v>1</v>
      </c>
      <c r="AK58" s="270">
        <v>1</v>
      </c>
      <c r="AL58" s="270">
        <v>1</v>
      </c>
      <c r="AM58" s="183"/>
    </row>
    <row r="59" spans="1:39" ht="29.25" customHeight="1" x14ac:dyDescent="0.25">
      <c r="B59" s="71"/>
      <c r="C59" s="45"/>
      <c r="D59" s="380"/>
      <c r="E59" s="72" t="s">
        <v>66</v>
      </c>
      <c r="F59" s="351">
        <f>SUMPRODUCT($G$57:$AL$57,G59:AL59)/$F$57</f>
        <v>0</v>
      </c>
      <c r="G59" s="270">
        <v>0</v>
      </c>
      <c r="H59" s="270">
        <v>0</v>
      </c>
      <c r="I59" s="270">
        <v>0</v>
      </c>
      <c r="J59" s="270">
        <v>0</v>
      </c>
      <c r="K59" s="270">
        <v>0</v>
      </c>
      <c r="L59" s="270">
        <v>0</v>
      </c>
      <c r="M59" s="270">
        <v>0</v>
      </c>
      <c r="N59" s="270">
        <v>0</v>
      </c>
      <c r="O59" s="270">
        <v>0</v>
      </c>
      <c r="P59" s="270">
        <v>0</v>
      </c>
      <c r="Q59" s="270">
        <v>0</v>
      </c>
      <c r="R59" s="270">
        <v>0</v>
      </c>
      <c r="S59" s="270">
        <v>0</v>
      </c>
      <c r="T59" s="270">
        <v>0</v>
      </c>
      <c r="U59" s="270">
        <v>0</v>
      </c>
      <c r="V59" s="270">
        <v>0</v>
      </c>
      <c r="W59" s="270">
        <v>0</v>
      </c>
      <c r="X59" s="270">
        <v>0</v>
      </c>
      <c r="Y59" s="270">
        <v>0</v>
      </c>
      <c r="Z59" s="270">
        <v>0</v>
      </c>
      <c r="AA59" s="270">
        <v>0</v>
      </c>
      <c r="AB59" s="270">
        <v>0</v>
      </c>
      <c r="AC59" s="270">
        <v>0</v>
      </c>
      <c r="AD59" s="270">
        <v>0</v>
      </c>
      <c r="AE59" s="270">
        <v>0</v>
      </c>
      <c r="AF59" s="270">
        <v>0</v>
      </c>
      <c r="AG59" s="270">
        <v>0</v>
      </c>
      <c r="AH59" s="270">
        <v>0</v>
      </c>
      <c r="AI59" s="270">
        <v>0</v>
      </c>
      <c r="AJ59" s="270">
        <v>0</v>
      </c>
      <c r="AK59" s="270">
        <v>0</v>
      </c>
      <c r="AL59" s="270">
        <v>0</v>
      </c>
      <c r="AM59" s="183"/>
    </row>
    <row r="60" spans="1:39" ht="17.25" customHeight="1" x14ac:dyDescent="0.25">
      <c r="B60" s="71"/>
      <c r="C60" s="45"/>
      <c r="D60" s="380"/>
      <c r="E60" s="72" t="s">
        <v>67</v>
      </c>
      <c r="F60" s="351">
        <f>1-F58-F59</f>
        <v>0</v>
      </c>
      <c r="G60" s="271">
        <f>1-G59-G58</f>
        <v>0</v>
      </c>
      <c r="H60" s="271">
        <f>1-H59-H58</f>
        <v>0</v>
      </c>
      <c r="I60" s="271">
        <f>1-I59-I58</f>
        <v>0</v>
      </c>
      <c r="J60" s="271">
        <f>1-J59-J58</f>
        <v>0</v>
      </c>
      <c r="K60" s="271">
        <f>1-K59-K58</f>
        <v>0</v>
      </c>
      <c r="L60" s="271">
        <f>1-L59-L58</f>
        <v>0</v>
      </c>
      <c r="M60" s="271">
        <f>1-M59-M58</f>
        <v>0</v>
      </c>
      <c r="N60" s="271">
        <f>1-N59-N58</f>
        <v>0</v>
      </c>
      <c r="O60" s="271">
        <f>1-O59-O58</f>
        <v>0</v>
      </c>
      <c r="P60" s="271">
        <f>1-P59-P58</f>
        <v>0</v>
      </c>
      <c r="Q60" s="271">
        <f>1-Q59-Q58</f>
        <v>0</v>
      </c>
      <c r="R60" s="271">
        <f>1-R59-R58</f>
        <v>0</v>
      </c>
      <c r="S60" s="271">
        <f>1-S59-S58</f>
        <v>0</v>
      </c>
      <c r="T60" s="271">
        <f>1-T59-T58</f>
        <v>0</v>
      </c>
      <c r="U60" s="271">
        <f>1-U59-U58</f>
        <v>0</v>
      </c>
      <c r="V60" s="271">
        <f>1-V59-V58</f>
        <v>0</v>
      </c>
      <c r="W60" s="271">
        <f>1-W59-W58</f>
        <v>0</v>
      </c>
      <c r="X60" s="271">
        <f>1-X59-X58</f>
        <v>0</v>
      </c>
      <c r="Y60" s="271">
        <f>1-Y59-Y58</f>
        <v>0</v>
      </c>
      <c r="Z60" s="271">
        <f>1-Z59-Z58</f>
        <v>0</v>
      </c>
      <c r="AA60" s="271">
        <f>1-AA59-AA58</f>
        <v>0</v>
      </c>
      <c r="AB60" s="271">
        <f>1-AB59-AB58</f>
        <v>0</v>
      </c>
      <c r="AC60" s="271">
        <f>1-AC59-AC58</f>
        <v>0</v>
      </c>
      <c r="AD60" s="271">
        <f>1-AD59-AD58</f>
        <v>0</v>
      </c>
      <c r="AE60" s="271">
        <f>1-AE59-AE58</f>
        <v>0</v>
      </c>
      <c r="AF60" s="271">
        <f>1-AF59-AF58</f>
        <v>0</v>
      </c>
      <c r="AG60" s="271">
        <f>1-AG59-AG58</f>
        <v>0</v>
      </c>
      <c r="AH60" s="271">
        <f>1-AH59-AH58</f>
        <v>0</v>
      </c>
      <c r="AI60" s="271">
        <f>1-AI59-AI58</f>
        <v>0</v>
      </c>
      <c r="AJ60" s="271">
        <f>1-AJ59-AJ58</f>
        <v>0</v>
      </c>
      <c r="AK60" s="271">
        <f>1-AK59-AK58</f>
        <v>0</v>
      </c>
      <c r="AL60" s="271">
        <f>1-AL59-AL58</f>
        <v>0</v>
      </c>
      <c r="AM60" s="183"/>
    </row>
    <row r="61" spans="1:39" x14ac:dyDescent="0.25">
      <c r="A61" s="259" t="str">
        <f>IF(ABS(B61/F61-1)&lt;0.1,"OK","WARNING")</f>
        <v>OK</v>
      </c>
      <c r="B61" s="69">
        <f>+'Wksh 1 - Market Experience'!F16</f>
        <v>144868031.03034738</v>
      </c>
      <c r="C61" s="45"/>
      <c r="D61" s="379" t="s">
        <v>45</v>
      </c>
      <c r="E61" s="73" t="s">
        <v>68</v>
      </c>
      <c r="F61" s="347">
        <f>SUM(G61:AL61)</f>
        <v>144843606.78269526</v>
      </c>
      <c r="G61" s="348">
        <v>3769650.3368749246</v>
      </c>
      <c r="H61" s="348">
        <v>8189721.2069550734</v>
      </c>
      <c r="I61" s="348">
        <v>25553845.59638834</v>
      </c>
      <c r="J61" s="348">
        <v>8760156.2108395696</v>
      </c>
      <c r="K61" s="348">
        <v>3572173.5367580405</v>
      </c>
      <c r="L61" s="348">
        <v>10157104.307040766</v>
      </c>
      <c r="M61" s="348">
        <v>20556656.832461003</v>
      </c>
      <c r="N61" s="348">
        <v>0</v>
      </c>
      <c r="O61" s="348">
        <v>0</v>
      </c>
      <c r="P61" s="348">
        <v>0</v>
      </c>
      <c r="Q61" s="348">
        <v>0</v>
      </c>
      <c r="R61" s="348">
        <v>1941548.7985781732</v>
      </c>
      <c r="S61" s="348">
        <v>2643100.2558739893</v>
      </c>
      <c r="T61" s="348">
        <v>12393884.503864991</v>
      </c>
      <c r="U61" s="348">
        <v>5001577.5980958166</v>
      </c>
      <c r="V61" s="348">
        <v>0</v>
      </c>
      <c r="W61" s="348">
        <v>0</v>
      </c>
      <c r="X61" s="348">
        <v>0</v>
      </c>
      <c r="Y61" s="348">
        <v>0</v>
      </c>
      <c r="Z61" s="348">
        <v>11891642.543247325</v>
      </c>
      <c r="AA61" s="348">
        <v>1468415.3204877377</v>
      </c>
      <c r="AB61" s="348">
        <v>8009049.0631698826</v>
      </c>
      <c r="AC61" s="348">
        <v>184164.28541987474</v>
      </c>
      <c r="AD61" s="348">
        <v>2993683.2452235636</v>
      </c>
      <c r="AE61" s="348">
        <v>3857052.1323004249</v>
      </c>
      <c r="AF61" s="348">
        <v>0</v>
      </c>
      <c r="AG61" s="348">
        <v>0</v>
      </c>
      <c r="AH61" s="348">
        <v>2813960.8280082489</v>
      </c>
      <c r="AI61" s="348">
        <v>7823614.741559675</v>
      </c>
      <c r="AJ61" s="348">
        <v>769820.03059264412</v>
      </c>
      <c r="AK61" s="348">
        <v>752196.3886822575</v>
      </c>
      <c r="AL61" s="348">
        <v>1740589.0202729297</v>
      </c>
      <c r="AM61" s="183"/>
    </row>
    <row r="62" spans="1:39" ht="29.25" customHeight="1" x14ac:dyDescent="0.25">
      <c r="B62" s="71"/>
      <c r="C62" s="45"/>
      <c r="D62" s="380"/>
      <c r="E62" s="72" t="s">
        <v>189</v>
      </c>
      <c r="F62" s="351">
        <f>SUMPRODUCT($G$61:$AL$61,G62:AL62)/$F$61</f>
        <v>1</v>
      </c>
      <c r="G62" s="374">
        <v>1</v>
      </c>
      <c r="H62" s="374">
        <v>1</v>
      </c>
      <c r="I62" s="374">
        <v>1</v>
      </c>
      <c r="J62" s="374">
        <v>1</v>
      </c>
      <c r="K62" s="374">
        <v>1</v>
      </c>
      <c r="L62" s="374">
        <v>1</v>
      </c>
      <c r="M62" s="374">
        <v>1</v>
      </c>
      <c r="N62" s="374">
        <v>1</v>
      </c>
      <c r="O62" s="374">
        <v>1</v>
      </c>
      <c r="P62" s="374">
        <v>1</v>
      </c>
      <c r="Q62" s="374">
        <v>1</v>
      </c>
      <c r="R62" s="374">
        <v>1</v>
      </c>
      <c r="S62" s="374">
        <v>1</v>
      </c>
      <c r="T62" s="374">
        <v>1</v>
      </c>
      <c r="U62" s="374">
        <v>1</v>
      </c>
      <c r="V62" s="374">
        <v>1</v>
      </c>
      <c r="W62" s="374">
        <v>1</v>
      </c>
      <c r="X62" s="374">
        <v>1</v>
      </c>
      <c r="Y62" s="374">
        <v>1</v>
      </c>
      <c r="Z62" s="374">
        <v>1</v>
      </c>
      <c r="AA62" s="374">
        <v>1</v>
      </c>
      <c r="AB62" s="374">
        <v>1</v>
      </c>
      <c r="AC62" s="374">
        <v>1</v>
      </c>
      <c r="AD62" s="374">
        <v>1</v>
      </c>
      <c r="AE62" s="374">
        <v>1</v>
      </c>
      <c r="AF62" s="374">
        <v>1</v>
      </c>
      <c r="AG62" s="374">
        <v>1</v>
      </c>
      <c r="AH62" s="374">
        <v>1</v>
      </c>
      <c r="AI62" s="374">
        <v>1</v>
      </c>
      <c r="AJ62" s="374">
        <v>1</v>
      </c>
      <c r="AK62" s="374">
        <v>1</v>
      </c>
      <c r="AL62" s="374">
        <v>1</v>
      </c>
    </row>
    <row r="63" spans="1:39" ht="27.75" customHeight="1" x14ac:dyDescent="0.25">
      <c r="B63" s="71"/>
      <c r="C63" s="45"/>
      <c r="D63" s="380"/>
      <c r="E63" s="72" t="s">
        <v>69</v>
      </c>
      <c r="F63" s="351">
        <f>SUMPRODUCT($G$61:$AL$61,G63:AL63)/$F$61</f>
        <v>0</v>
      </c>
      <c r="G63" s="374">
        <v>0</v>
      </c>
      <c r="H63" s="374">
        <v>0</v>
      </c>
      <c r="I63" s="374">
        <v>0</v>
      </c>
      <c r="J63" s="374">
        <v>0</v>
      </c>
      <c r="K63" s="374">
        <v>0</v>
      </c>
      <c r="L63" s="374">
        <v>0</v>
      </c>
      <c r="M63" s="374">
        <v>0</v>
      </c>
      <c r="N63" s="374">
        <v>0</v>
      </c>
      <c r="O63" s="374">
        <v>0</v>
      </c>
      <c r="P63" s="374">
        <v>0</v>
      </c>
      <c r="Q63" s="374">
        <v>0</v>
      </c>
      <c r="R63" s="374">
        <v>0</v>
      </c>
      <c r="S63" s="374">
        <v>0</v>
      </c>
      <c r="T63" s="374">
        <v>0</v>
      </c>
      <c r="U63" s="374">
        <v>0</v>
      </c>
      <c r="V63" s="374">
        <v>0</v>
      </c>
      <c r="W63" s="374">
        <v>0</v>
      </c>
      <c r="X63" s="374">
        <v>0</v>
      </c>
      <c r="Y63" s="374">
        <v>0</v>
      </c>
      <c r="Z63" s="374">
        <v>0</v>
      </c>
      <c r="AA63" s="374">
        <v>0</v>
      </c>
      <c r="AB63" s="374">
        <v>0</v>
      </c>
      <c r="AC63" s="374">
        <v>0</v>
      </c>
      <c r="AD63" s="374">
        <v>0</v>
      </c>
      <c r="AE63" s="374">
        <v>0</v>
      </c>
      <c r="AF63" s="374">
        <v>0</v>
      </c>
      <c r="AG63" s="374">
        <v>0</v>
      </c>
      <c r="AH63" s="374">
        <v>0</v>
      </c>
      <c r="AI63" s="374">
        <v>0</v>
      </c>
      <c r="AJ63" s="374">
        <v>0</v>
      </c>
      <c r="AK63" s="374">
        <v>0</v>
      </c>
      <c r="AL63" s="374">
        <v>0</v>
      </c>
      <c r="AM63" s="183"/>
    </row>
    <row r="64" spans="1:39" ht="15" customHeight="1" x14ac:dyDescent="0.25">
      <c r="B64" s="71"/>
      <c r="C64" s="45"/>
      <c r="D64" s="380"/>
      <c r="E64" s="72" t="s">
        <v>70</v>
      </c>
      <c r="F64" s="351">
        <f>1-F62-F63</f>
        <v>0</v>
      </c>
      <c r="G64" s="271">
        <f>1-G63-G62</f>
        <v>0</v>
      </c>
      <c r="H64" s="271">
        <f>1-H63-H62</f>
        <v>0</v>
      </c>
      <c r="I64" s="271">
        <f>1-I63-I62</f>
        <v>0</v>
      </c>
      <c r="J64" s="271">
        <f>1-J63-J62</f>
        <v>0</v>
      </c>
      <c r="K64" s="271">
        <f>1-K63-K62</f>
        <v>0</v>
      </c>
      <c r="L64" s="271">
        <f>1-L63-L62</f>
        <v>0</v>
      </c>
      <c r="M64" s="271">
        <f>1-M63-M62</f>
        <v>0</v>
      </c>
      <c r="N64" s="271">
        <f>1-N63-N62</f>
        <v>0</v>
      </c>
      <c r="O64" s="271">
        <f>1-O63-O62</f>
        <v>0</v>
      </c>
      <c r="P64" s="271">
        <f>1-P63-P62</f>
        <v>0</v>
      </c>
      <c r="Q64" s="271">
        <f>1-Q63-Q62</f>
        <v>0</v>
      </c>
      <c r="R64" s="271">
        <f>1-R63-R62</f>
        <v>0</v>
      </c>
      <c r="S64" s="271">
        <f>1-S63-S62</f>
        <v>0</v>
      </c>
      <c r="T64" s="271">
        <f>1-T63-T62</f>
        <v>0</v>
      </c>
      <c r="U64" s="271">
        <f>1-U63-U62</f>
        <v>0</v>
      </c>
      <c r="V64" s="271">
        <f>1-V63-V62</f>
        <v>0</v>
      </c>
      <c r="W64" s="271">
        <f>1-W63-W62</f>
        <v>0</v>
      </c>
      <c r="X64" s="271">
        <f>1-X63-X62</f>
        <v>0</v>
      </c>
      <c r="Y64" s="271">
        <f>1-Y63-Y62</f>
        <v>0</v>
      </c>
      <c r="Z64" s="271">
        <f>1-Z63-Z62</f>
        <v>0</v>
      </c>
      <c r="AA64" s="271">
        <f>1-AA63-AA62</f>
        <v>0</v>
      </c>
      <c r="AB64" s="271">
        <f>1-AB63-AB62</f>
        <v>0</v>
      </c>
      <c r="AC64" s="271">
        <f>1-AC63-AC62</f>
        <v>0</v>
      </c>
      <c r="AD64" s="271">
        <f>1-AD63-AD62</f>
        <v>0</v>
      </c>
      <c r="AE64" s="271">
        <f>1-AE63-AE62</f>
        <v>0</v>
      </c>
      <c r="AF64" s="271">
        <f>1-AF63-AF62</f>
        <v>0</v>
      </c>
      <c r="AG64" s="271">
        <f>1-AG63-AG62</f>
        <v>0</v>
      </c>
      <c r="AH64" s="271">
        <f>1-AH63-AH62</f>
        <v>0</v>
      </c>
      <c r="AI64" s="271">
        <f>1-AI63-AI62</f>
        <v>0</v>
      </c>
      <c r="AJ64" s="271">
        <f>1-AJ63-AJ62</f>
        <v>0</v>
      </c>
      <c r="AK64" s="271">
        <f>1-AK63-AK62</f>
        <v>0</v>
      </c>
      <c r="AL64" s="271">
        <f>1-AL63-AL62</f>
        <v>0</v>
      </c>
      <c r="AM64" s="183"/>
    </row>
    <row r="65" spans="1:39" ht="27" customHeight="1" x14ac:dyDescent="0.25">
      <c r="B65" s="71"/>
      <c r="C65" s="45"/>
      <c r="D65" s="380"/>
      <c r="E65" s="74" t="s">
        <v>100</v>
      </c>
      <c r="F65" s="347">
        <f>SUM(G65:AL65)</f>
        <v>19905222.205013819</v>
      </c>
      <c r="G65" s="348">
        <v>1727696.6243622112</v>
      </c>
      <c r="H65" s="348">
        <v>-3448101.2869899431</v>
      </c>
      <c r="I65" s="348">
        <v>-7684228.9907310549</v>
      </c>
      <c r="J65" s="348">
        <v>1677268.6821250536</v>
      </c>
      <c r="K65" s="348">
        <v>-824309.90275839705</v>
      </c>
      <c r="L65" s="348">
        <v>-2096847.1592319666</v>
      </c>
      <c r="M65" s="348">
        <v>1430714.9899089299</v>
      </c>
      <c r="N65" s="348">
        <v>0</v>
      </c>
      <c r="O65" s="348">
        <v>0</v>
      </c>
      <c r="P65" s="348">
        <v>0</v>
      </c>
      <c r="Q65" s="348">
        <v>0</v>
      </c>
      <c r="R65" s="348">
        <v>424252.51605583227</v>
      </c>
      <c r="S65" s="348">
        <v>1134083.1433916152</v>
      </c>
      <c r="T65" s="348">
        <v>5379876.3952701734</v>
      </c>
      <c r="U65" s="348">
        <v>1903966.2669231992</v>
      </c>
      <c r="V65" s="348">
        <v>0</v>
      </c>
      <c r="W65" s="348">
        <v>0</v>
      </c>
      <c r="X65" s="348">
        <v>0</v>
      </c>
      <c r="Y65" s="348">
        <v>0</v>
      </c>
      <c r="Z65" s="348">
        <v>6648188.3697633864</v>
      </c>
      <c r="AA65" s="348">
        <v>842857.52209491457</v>
      </c>
      <c r="AB65" s="348">
        <v>4274950.2845049798</v>
      </c>
      <c r="AC65" s="348">
        <v>224.37512277680946</v>
      </c>
      <c r="AD65" s="348">
        <v>1421380.1716192286</v>
      </c>
      <c r="AE65" s="348">
        <v>605116.73041213455</v>
      </c>
      <c r="AF65" s="348">
        <v>0</v>
      </c>
      <c r="AG65" s="348">
        <v>0</v>
      </c>
      <c r="AH65" s="348">
        <v>443570.99307942344</v>
      </c>
      <c r="AI65" s="348">
        <v>4523168.9160764227</v>
      </c>
      <c r="AJ65" s="348">
        <v>364809.49919608486</v>
      </c>
      <c r="AK65" s="348">
        <v>117727.55027943855</v>
      </c>
      <c r="AL65" s="348">
        <v>1038856.5145393757</v>
      </c>
      <c r="AM65" s="183"/>
    </row>
    <row r="66" spans="1:39" ht="27" customHeight="1" x14ac:dyDescent="0.25">
      <c r="B66" s="71"/>
      <c r="C66" s="45"/>
      <c r="D66" s="380"/>
      <c r="E66" s="75" t="s">
        <v>85</v>
      </c>
      <c r="F66" s="349">
        <f>SUM(G66:AL66)</f>
        <v>1869331.1819999977</v>
      </c>
      <c r="G66" s="350">
        <v>0</v>
      </c>
      <c r="H66" s="350">
        <v>21692.747819370728</v>
      </c>
      <c r="I66" s="350">
        <v>35770.995871119798</v>
      </c>
      <c r="J66" s="350">
        <v>186.10655921118533</v>
      </c>
      <c r="K66" s="350">
        <v>528.42989752576727</v>
      </c>
      <c r="L66" s="350">
        <v>36589.767759060647</v>
      </c>
      <c r="M66" s="350">
        <v>667.95931037770504</v>
      </c>
      <c r="N66" s="350">
        <v>0</v>
      </c>
      <c r="O66" s="350">
        <v>0</v>
      </c>
      <c r="P66" s="350">
        <v>0</v>
      </c>
      <c r="Q66" s="350">
        <v>0</v>
      </c>
      <c r="R66" s="350">
        <v>116624.83091970086</v>
      </c>
      <c r="S66" s="350">
        <v>56960.637780369354</v>
      </c>
      <c r="T66" s="350">
        <v>460717.29269103112</v>
      </c>
      <c r="U66" s="350">
        <v>152144.72839476814</v>
      </c>
      <c r="V66" s="350">
        <v>0</v>
      </c>
      <c r="W66" s="350">
        <v>0</v>
      </c>
      <c r="X66" s="350">
        <v>0</v>
      </c>
      <c r="Y66" s="350">
        <v>0</v>
      </c>
      <c r="Z66" s="350">
        <v>836521.80102559575</v>
      </c>
      <c r="AA66" s="350">
        <v>0</v>
      </c>
      <c r="AB66" s="350">
        <v>0</v>
      </c>
      <c r="AC66" s="350">
        <v>0</v>
      </c>
      <c r="AD66" s="350">
        <v>98724.085054748401</v>
      </c>
      <c r="AE66" s="350">
        <v>0</v>
      </c>
      <c r="AF66" s="350">
        <v>0</v>
      </c>
      <c r="AG66" s="350">
        <v>0</v>
      </c>
      <c r="AH66" s="350">
        <v>0</v>
      </c>
      <c r="AI66" s="350">
        <v>0</v>
      </c>
      <c r="AJ66" s="350">
        <v>0</v>
      </c>
      <c r="AK66" s="350">
        <v>52201.798917118133</v>
      </c>
      <c r="AL66" s="350">
        <v>0</v>
      </c>
      <c r="AM66" s="183"/>
    </row>
    <row r="67" spans="1:39" ht="27" customHeight="1" x14ac:dyDescent="0.25">
      <c r="B67" s="71"/>
      <c r="C67" s="45"/>
      <c r="D67" s="380"/>
      <c r="E67" s="75" t="s">
        <v>86</v>
      </c>
      <c r="F67" s="351">
        <f>+F66/F65</f>
        <v>9.3911595798671463E-2</v>
      </c>
      <c r="G67" s="341">
        <f>+G66/G65</f>
        <v>0</v>
      </c>
      <c r="H67" s="341">
        <f>+H66/H65</f>
        <v>-6.2912153715494953E-3</v>
      </c>
      <c r="I67" s="341">
        <f>+I66/I65</f>
        <v>-4.6551184138666135E-3</v>
      </c>
      <c r="J67" s="341">
        <f>+J66/J65</f>
        <v>1.1095810778234612E-4</v>
      </c>
      <c r="K67" s="341">
        <f>+K66/K65</f>
        <v>-6.4105732050224876E-4</v>
      </c>
      <c r="L67" s="341">
        <f>+L66/L65</f>
        <v>-1.7449897384253201E-2</v>
      </c>
      <c r="M67" s="341">
        <f>+M66/M65</f>
        <v>4.66870980655779E-4</v>
      </c>
      <c r="N67" s="341" t="e">
        <f>+N66/N65</f>
        <v>#DIV/0!</v>
      </c>
      <c r="O67" s="341" t="e">
        <f>+O66/O65</f>
        <v>#DIV/0!</v>
      </c>
      <c r="P67" s="341" t="e">
        <f>+P66/P65</f>
        <v>#DIV/0!</v>
      </c>
      <c r="Q67" s="341" t="e">
        <f>+Q66/Q65</f>
        <v>#DIV/0!</v>
      </c>
      <c r="R67" s="341">
        <f>+R66/R65</f>
        <v>0.27489484801158576</v>
      </c>
      <c r="S67" s="341">
        <f>+S66/S65</f>
        <v>5.022615679660096E-2</v>
      </c>
      <c r="T67" s="341">
        <f>+T66/T65</f>
        <v>8.5637152016369747E-2</v>
      </c>
      <c r="U67" s="341">
        <f>+U66/U65</f>
        <v>7.9909361335814694E-2</v>
      </c>
      <c r="V67" s="341" t="e">
        <f>+V66/V65</f>
        <v>#DIV/0!</v>
      </c>
      <c r="W67" s="341" t="e">
        <f>+W66/W65</f>
        <v>#DIV/0!</v>
      </c>
      <c r="X67" s="341" t="e">
        <f>+X66/X65</f>
        <v>#DIV/0!</v>
      </c>
      <c r="Y67" s="341" t="e">
        <f>+Y66/Y65</f>
        <v>#DIV/0!</v>
      </c>
      <c r="Z67" s="341">
        <f>+Z66/Z65</f>
        <v>0.12582703053815067</v>
      </c>
      <c r="AA67" s="341">
        <f>+AA66/AA65</f>
        <v>0</v>
      </c>
      <c r="AB67" s="341">
        <f>+AB66/AB65</f>
        <v>0</v>
      </c>
      <c r="AC67" s="341">
        <f>+AC66/AC65</f>
        <v>0</v>
      </c>
      <c r="AD67" s="341">
        <f>+AD66/AD65</f>
        <v>6.9456495191066628E-2</v>
      </c>
      <c r="AE67" s="341">
        <f>+AE66/AE65</f>
        <v>0</v>
      </c>
      <c r="AF67" s="341" t="e">
        <f>+AF66/AF65</f>
        <v>#DIV/0!</v>
      </c>
      <c r="AG67" s="341" t="e">
        <f>+AG66/AG65</f>
        <v>#DIV/0!</v>
      </c>
      <c r="AH67" s="341">
        <f>+AH66/AH65</f>
        <v>0</v>
      </c>
      <c r="AI67" s="341">
        <f>+AI66/AI65</f>
        <v>0</v>
      </c>
      <c r="AJ67" s="341">
        <f>+AJ66/AJ65</f>
        <v>0</v>
      </c>
      <c r="AK67" s="341">
        <f>+AK66/AK65</f>
        <v>0.44341191839303329</v>
      </c>
      <c r="AL67" s="341">
        <f>+AL66/AL65</f>
        <v>0</v>
      </c>
      <c r="AM67" s="183"/>
    </row>
    <row r="68" spans="1:39" ht="12.75" customHeight="1" x14ac:dyDescent="0.25">
      <c r="A68" s="259" t="str">
        <f>IF(ABS(B68/F68-1)&lt;0.1,"OK","WARNING")</f>
        <v>WARNING</v>
      </c>
      <c r="B68" s="69">
        <f>+'Wksh 1 - Market Experience'!F15</f>
        <v>108060715.65926482</v>
      </c>
      <c r="C68" s="45"/>
      <c r="D68" s="380"/>
      <c r="E68" s="73" t="s">
        <v>84</v>
      </c>
      <c r="F68" s="344">
        <f>SUM(G68:AL68)</f>
        <v>124938384.57768139</v>
      </c>
      <c r="G68" s="345">
        <f>+G61-G65</f>
        <v>2041953.7125127134</v>
      </c>
      <c r="H68" s="345">
        <f>+H61-H65</f>
        <v>11637822.493945017</v>
      </c>
      <c r="I68" s="345">
        <f>+I61-I65</f>
        <v>33238074.587119393</v>
      </c>
      <c r="J68" s="345">
        <f>+J61-J65</f>
        <v>7082887.5287145162</v>
      </c>
      <c r="K68" s="345">
        <f>+K61-K65</f>
        <v>4396483.4395164372</v>
      </c>
      <c r="L68" s="345">
        <f>+L61-L65</f>
        <v>12253951.466272732</v>
      </c>
      <c r="M68" s="345">
        <f>+M61-M65</f>
        <v>19125941.842552073</v>
      </c>
      <c r="N68" s="345">
        <f>+N61-N65</f>
        <v>0</v>
      </c>
      <c r="O68" s="345">
        <f>+O61-O65</f>
        <v>0</v>
      </c>
      <c r="P68" s="345">
        <f>+P61-P65</f>
        <v>0</v>
      </c>
      <c r="Q68" s="345">
        <f>+Q61-Q65</f>
        <v>0</v>
      </c>
      <c r="R68" s="345">
        <f>+R61-R65</f>
        <v>1517296.2825223408</v>
      </c>
      <c r="S68" s="345">
        <f>+S61-S65</f>
        <v>1509017.1124823741</v>
      </c>
      <c r="T68" s="345">
        <f>+T61-T65</f>
        <v>7014008.1085948171</v>
      </c>
      <c r="U68" s="345">
        <f>+U61-U65</f>
        <v>3097611.3311726172</v>
      </c>
      <c r="V68" s="345">
        <f>+V61-V65</f>
        <v>0</v>
      </c>
      <c r="W68" s="345">
        <f>+W61-W65</f>
        <v>0</v>
      </c>
      <c r="X68" s="345">
        <f>+X61-X65</f>
        <v>0</v>
      </c>
      <c r="Y68" s="345">
        <f>+Y61-Y65</f>
        <v>0</v>
      </c>
      <c r="Z68" s="345">
        <f>+Z61-Z65</f>
        <v>5243454.1734839389</v>
      </c>
      <c r="AA68" s="345">
        <f>+AA61-AA65</f>
        <v>625557.79839282308</v>
      </c>
      <c r="AB68" s="345">
        <f>+AB61-AB65</f>
        <v>3734098.7786649028</v>
      </c>
      <c r="AC68" s="345">
        <f>+AC61-AC65</f>
        <v>183939.91029709793</v>
      </c>
      <c r="AD68" s="345">
        <f>+AD61-AD65</f>
        <v>1572303.0736043351</v>
      </c>
      <c r="AE68" s="345">
        <f>+AE61-AE65</f>
        <v>3251935.4018882904</v>
      </c>
      <c r="AF68" s="345">
        <f>+AF61-AF65</f>
        <v>0</v>
      </c>
      <c r="AG68" s="345">
        <f>+AG61-AG65</f>
        <v>0</v>
      </c>
      <c r="AH68" s="345">
        <f>+AH61-AH65</f>
        <v>2370389.8349288255</v>
      </c>
      <c r="AI68" s="345">
        <f>+AI61-AI65</f>
        <v>3300445.8254832523</v>
      </c>
      <c r="AJ68" s="345">
        <f>+AJ61-AJ65</f>
        <v>405010.53139655926</v>
      </c>
      <c r="AK68" s="345">
        <f>+AK61-AK65</f>
        <v>634468.83840281889</v>
      </c>
      <c r="AL68" s="345">
        <f>+AL61-AL65</f>
        <v>701732.50573355402</v>
      </c>
      <c r="AM68" s="183"/>
    </row>
    <row r="69" spans="1:39" x14ac:dyDescent="0.25">
      <c r="B69" s="76"/>
      <c r="C69" s="45"/>
      <c r="D69" s="250"/>
      <c r="E69" s="73"/>
      <c r="F69" s="42"/>
      <c r="G69" s="40"/>
      <c r="H69" s="40"/>
      <c r="I69" s="40"/>
      <c r="J69" s="40"/>
      <c r="K69" s="40"/>
      <c r="L69" s="40"/>
      <c r="M69" s="40"/>
      <c r="N69" s="40"/>
      <c r="O69" s="40"/>
      <c r="P69" s="40"/>
      <c r="Q69" s="40"/>
      <c r="R69" s="40"/>
      <c r="S69" s="40"/>
      <c r="T69" s="40"/>
      <c r="U69" s="40"/>
      <c r="V69" s="40"/>
      <c r="W69" s="40"/>
      <c r="X69" s="40"/>
      <c r="Y69" s="40"/>
      <c r="Z69" s="40"/>
      <c r="AA69" s="40"/>
      <c r="AB69" s="40"/>
      <c r="AC69" s="40"/>
      <c r="AD69" s="40"/>
      <c r="AE69" s="40"/>
      <c r="AF69" s="40"/>
      <c r="AG69" s="40"/>
      <c r="AH69" s="40"/>
      <c r="AI69" s="40"/>
      <c r="AJ69" s="40"/>
      <c r="AK69" s="40"/>
      <c r="AL69" s="40"/>
      <c r="AM69" s="183"/>
    </row>
    <row r="70" spans="1:39" x14ac:dyDescent="0.25">
      <c r="A70" s="259"/>
      <c r="B70" s="276"/>
      <c r="C70" s="45"/>
      <c r="D70" s="250"/>
      <c r="E70" s="73" t="s">
        <v>94</v>
      </c>
      <c r="F70" s="342">
        <f>SUM(G70:AL70)</f>
        <v>5465097.0105705615</v>
      </c>
      <c r="G70" s="343">
        <v>-40989.388099050891</v>
      </c>
      <c r="H70" s="343">
        <v>317300.45527163713</v>
      </c>
      <c r="I70" s="343">
        <v>820653.50890366058</v>
      </c>
      <c r="J70" s="343">
        <v>369465.07758368505</v>
      </c>
      <c r="K70" s="343">
        <v>109530.63091240884</v>
      </c>
      <c r="L70" s="343">
        <v>174990.91418466391</v>
      </c>
      <c r="M70" s="343">
        <v>943715.47540070536</v>
      </c>
      <c r="N70" s="343">
        <v>0</v>
      </c>
      <c r="O70" s="343">
        <v>0</v>
      </c>
      <c r="P70" s="343">
        <v>0</v>
      </c>
      <c r="Q70" s="343">
        <v>0</v>
      </c>
      <c r="R70" s="343">
        <v>45519.494488863122</v>
      </c>
      <c r="S70" s="343">
        <v>77085.28728289844</v>
      </c>
      <c r="T70" s="343">
        <v>695741.45554353751</v>
      </c>
      <c r="U70" s="343">
        <v>110992.80860941928</v>
      </c>
      <c r="V70" s="343">
        <v>0</v>
      </c>
      <c r="W70" s="343">
        <v>0</v>
      </c>
      <c r="X70" s="343">
        <v>0</v>
      </c>
      <c r="Y70" s="343">
        <v>0</v>
      </c>
      <c r="Z70" s="343">
        <v>559451.39551516401</v>
      </c>
      <c r="AA70" s="343">
        <v>-3943.2136972923436</v>
      </c>
      <c r="AB70" s="343">
        <v>392361.3591304525</v>
      </c>
      <c r="AC70" s="343">
        <v>-858.18712866519866</v>
      </c>
      <c r="AD70" s="343">
        <v>142238.58257696984</v>
      </c>
      <c r="AE70" s="343">
        <v>90179.186947935319</v>
      </c>
      <c r="AF70" s="343">
        <v>0</v>
      </c>
      <c r="AG70" s="343">
        <v>0</v>
      </c>
      <c r="AH70" s="343">
        <v>77060.780986285667</v>
      </c>
      <c r="AI70" s="343">
        <v>459914.7695906405</v>
      </c>
      <c r="AJ70" s="343">
        <v>-3773.8830547264315</v>
      </c>
      <c r="AK70" s="343">
        <v>-3518.398160677817</v>
      </c>
      <c r="AL70" s="343">
        <v>131978.89778204641</v>
      </c>
      <c r="AM70" s="183"/>
    </row>
    <row r="71" spans="1:39" x14ac:dyDescent="0.25">
      <c r="B71" s="71"/>
      <c r="C71" s="45"/>
      <c r="D71" s="77"/>
      <c r="E71" s="73" t="s">
        <v>93</v>
      </c>
      <c r="F71" s="342">
        <f>SUM(G71:AL71)</f>
        <v>-23127541.754943486</v>
      </c>
      <c r="G71" s="343">
        <v>-4329.664500359534</v>
      </c>
      <c r="H71" s="343">
        <v>-6042070.0598373599</v>
      </c>
      <c r="I71" s="343">
        <v>-16916288.206160355</v>
      </c>
      <c r="J71" s="343">
        <v>-994143.65312447422</v>
      </c>
      <c r="K71" s="343">
        <v>-2137971.3666363573</v>
      </c>
      <c r="L71" s="343">
        <v>-5760462.3454161277</v>
      </c>
      <c r="M71" s="343">
        <v>-4559540.1567345662</v>
      </c>
      <c r="N71" s="343">
        <v>0</v>
      </c>
      <c r="O71" s="343">
        <v>0</v>
      </c>
      <c r="P71" s="343">
        <v>0</v>
      </c>
      <c r="Q71" s="343">
        <v>0</v>
      </c>
      <c r="R71" s="343">
        <v>-129420.66637786377</v>
      </c>
      <c r="S71" s="343">
        <v>313625.92898597341</v>
      </c>
      <c r="T71" s="343">
        <v>1893740.6443809657</v>
      </c>
      <c r="U71" s="343">
        <v>712391.60903154907</v>
      </c>
      <c r="V71" s="343">
        <v>0</v>
      </c>
      <c r="W71" s="343">
        <v>0</v>
      </c>
      <c r="X71" s="343">
        <v>0</v>
      </c>
      <c r="Y71" s="343">
        <v>0</v>
      </c>
      <c r="Z71" s="343">
        <v>4006460.9052439448</v>
      </c>
      <c r="AA71" s="343">
        <v>601583.24475907418</v>
      </c>
      <c r="AB71" s="343">
        <v>2685059.0987095768</v>
      </c>
      <c r="AC71" s="343">
        <v>-39469.905178606772</v>
      </c>
      <c r="AD71" s="343">
        <v>784939.81000842084</v>
      </c>
      <c r="AE71" s="343">
        <v>-691117.79269564745</v>
      </c>
      <c r="AF71" s="343">
        <v>0</v>
      </c>
      <c r="AG71" s="343">
        <v>0</v>
      </c>
      <c r="AH71" s="343">
        <v>-432214.74997604016</v>
      </c>
      <c r="AI71" s="343">
        <v>2945456.5325755286</v>
      </c>
      <c r="AJ71" s="343">
        <v>65995.7633269129</v>
      </c>
      <c r="AK71" s="343">
        <v>-75462.59011049637</v>
      </c>
      <c r="AL71" s="343">
        <v>645695.86478282011</v>
      </c>
      <c r="AM71" s="183"/>
    </row>
    <row r="72" spans="1:39" x14ac:dyDescent="0.25">
      <c r="B72" s="78"/>
      <c r="C72" s="45"/>
      <c r="D72" s="79"/>
      <c r="E72" s="80"/>
      <c r="F72" s="329"/>
      <c r="G72" s="23"/>
      <c r="H72" s="23"/>
      <c r="I72" s="23"/>
      <c r="J72" s="23"/>
      <c r="K72" s="23"/>
      <c r="L72" s="23"/>
      <c r="M72" s="23"/>
      <c r="N72" s="23"/>
      <c r="O72" s="23"/>
      <c r="P72" s="23"/>
      <c r="Q72" s="23"/>
      <c r="R72" s="23"/>
      <c r="S72" s="23"/>
      <c r="T72" s="23"/>
      <c r="U72" s="23"/>
      <c r="V72" s="23"/>
      <c r="W72" s="23"/>
      <c r="X72" s="23"/>
      <c r="Y72" s="23"/>
      <c r="Z72" s="23"/>
      <c r="AA72" s="23"/>
      <c r="AB72" s="23"/>
      <c r="AC72" s="23"/>
      <c r="AD72" s="23"/>
      <c r="AE72" s="23"/>
      <c r="AF72" s="23"/>
      <c r="AG72" s="23"/>
      <c r="AH72" s="23"/>
      <c r="AI72" s="23"/>
      <c r="AJ72" s="23"/>
      <c r="AK72" s="23"/>
      <c r="AL72" s="23"/>
      <c r="AM72" s="183"/>
    </row>
    <row r="73" spans="1:39" x14ac:dyDescent="0.25">
      <c r="A73" s="259" t="str">
        <f>IF(ABS(B73/F73-1)&lt;0.1,"OK","WARNING")</f>
        <v>WARNING</v>
      </c>
      <c r="B73" s="81">
        <f>+'Wksh 1 - Market Experience'!G15</f>
        <v>292.13810276203264</v>
      </c>
      <c r="C73" s="45"/>
      <c r="D73" s="82"/>
      <c r="E73" s="64" t="s">
        <v>87</v>
      </c>
      <c r="F73" s="272">
        <f>+F68/F56</f>
        <v>337.89779251412136</v>
      </c>
      <c r="G73" s="272">
        <f>+G68/G56</f>
        <v>70.743961769426051</v>
      </c>
      <c r="H73" s="272">
        <f>+H68/H56</f>
        <v>426.46570024350535</v>
      </c>
      <c r="I73" s="272">
        <f>+I68/I56</f>
        <v>348.26876702277281</v>
      </c>
      <c r="J73" s="272">
        <f>+J68/J56</f>
        <v>350.32582494383797</v>
      </c>
      <c r="K73" s="272">
        <f>+K68/K56</f>
        <v>381.53982812778247</v>
      </c>
      <c r="L73" s="272">
        <f>+L68/L56</f>
        <v>307.25518946574226</v>
      </c>
      <c r="M73" s="272">
        <f>+M68/M56</f>
        <v>388.48598152730079</v>
      </c>
      <c r="N73" s="272" t="e">
        <f>+N68/N56</f>
        <v>#DIV/0!</v>
      </c>
      <c r="O73" s="272" t="e">
        <f>+O68/O56</f>
        <v>#DIV/0!</v>
      </c>
      <c r="P73" s="272" t="e">
        <f>+P68/P56</f>
        <v>#DIV/0!</v>
      </c>
      <c r="Q73" s="272" t="e">
        <f>+Q68/Q56</f>
        <v>#DIV/0!</v>
      </c>
      <c r="R73" s="272">
        <f>+R68/R56</f>
        <v>339.43988423318586</v>
      </c>
      <c r="S73" s="272">
        <f>+S68/S56</f>
        <v>273.71977371347253</v>
      </c>
      <c r="T73" s="272">
        <f>+T68/T56</f>
        <v>318.52897859195355</v>
      </c>
      <c r="U73" s="272">
        <f>+U68/U56</f>
        <v>390.81646873235138</v>
      </c>
      <c r="V73" s="272" t="e">
        <f>+V68/V56</f>
        <v>#DIV/0!</v>
      </c>
      <c r="W73" s="272" t="e">
        <f>+W68/W56</f>
        <v>#DIV/0!</v>
      </c>
      <c r="X73" s="272" t="e">
        <f>+X68/X56</f>
        <v>#DIV/0!</v>
      </c>
      <c r="Y73" s="272" t="e">
        <f>+Y68/Y56</f>
        <v>#DIV/0!</v>
      </c>
      <c r="Z73" s="272">
        <f>+Z68/Z56</f>
        <v>387.74341296191221</v>
      </c>
      <c r="AA73" s="272">
        <f>+AA68/AA56</f>
        <v>320.79887097067848</v>
      </c>
      <c r="AB73" s="272">
        <f>+AB68/AB56</f>
        <v>436.63456251928238</v>
      </c>
      <c r="AC73" s="272">
        <f>+AC68/AC56</f>
        <v>573.02152740528948</v>
      </c>
      <c r="AD73" s="272">
        <f>+AD68/AD56</f>
        <v>597.60664143076212</v>
      </c>
      <c r="AE73" s="272">
        <f>+AE68/AE56</f>
        <v>310.98167752589563</v>
      </c>
      <c r="AF73" s="272" t="e">
        <f>+AF68/AF56</f>
        <v>#DIV/0!</v>
      </c>
      <c r="AG73" s="272" t="e">
        <f>+AG68/AG56</f>
        <v>#DIV/0!</v>
      </c>
      <c r="AH73" s="272">
        <f>+AH68/AH56</f>
        <v>337.80673149904879</v>
      </c>
      <c r="AI73" s="272">
        <f>+AI68/AI56</f>
        <v>410.24808272010591</v>
      </c>
      <c r="AJ73" s="272">
        <f>+AJ68/AJ56</f>
        <v>270.00702093103951</v>
      </c>
      <c r="AK73" s="272">
        <f>+AK68/AK56</f>
        <v>381.75020361180441</v>
      </c>
      <c r="AL73" s="272">
        <f>+AL68/AL56</f>
        <v>408.22135295727401</v>
      </c>
      <c r="AM73" s="183"/>
    </row>
    <row r="74" spans="1:39" x14ac:dyDescent="0.25">
      <c r="A74" s="259" t="str">
        <f>IF(ABS(B74/F74-1)&lt;0.1,"OK","WARNING")</f>
        <v>OK</v>
      </c>
      <c r="B74" s="81">
        <f>+'Wksh 1 - Market Experience'!G16</f>
        <v>391.64530308613064</v>
      </c>
      <c r="C74" s="45"/>
      <c r="D74" s="83"/>
      <c r="E74" s="64" t="s">
        <v>8</v>
      </c>
      <c r="F74" s="272">
        <f>+F61/F56</f>
        <v>391.7317736826177</v>
      </c>
      <c r="G74" s="272">
        <f>+G61/G56</f>
        <v>130.60041355581086</v>
      </c>
      <c r="H74" s="272">
        <f>+H61/H56</f>
        <v>300.11071153047283</v>
      </c>
      <c r="I74" s="272">
        <f>+I61/I56</f>
        <v>267.7533644500968</v>
      </c>
      <c r="J74" s="272">
        <f>+J61/J56</f>
        <v>433.28500399839595</v>
      </c>
      <c r="K74" s="272">
        <f>+K61/K56</f>
        <v>310.00377824854991</v>
      </c>
      <c r="L74" s="272">
        <f>+L61/L56</f>
        <v>254.67891046188169</v>
      </c>
      <c r="M74" s="272">
        <f>+M61/M56</f>
        <v>417.54665324303306</v>
      </c>
      <c r="N74" s="272" t="e">
        <f>+N61/N56</f>
        <v>#DIV/0!</v>
      </c>
      <c r="O74" s="272" t="e">
        <f>+O61/O56</f>
        <v>#DIV/0!</v>
      </c>
      <c r="P74" s="272" t="e">
        <f>+P61/P56</f>
        <v>#DIV/0!</v>
      </c>
      <c r="Q74" s="272" t="e">
        <f>+Q61/Q56</f>
        <v>#DIV/0!</v>
      </c>
      <c r="R74" s="272">
        <f>+R61/R56</f>
        <v>434.35096165059804</v>
      </c>
      <c r="S74" s="272">
        <f>+S61/S56</f>
        <v>479.43048356139838</v>
      </c>
      <c r="T74" s="272">
        <f>+T61/T56</f>
        <v>562.84670771412311</v>
      </c>
      <c r="U74" s="272">
        <f>+U61/U56</f>
        <v>631.0342667292224</v>
      </c>
      <c r="V74" s="272" t="e">
        <f>+V61/V56</f>
        <v>#DIV/0!</v>
      </c>
      <c r="W74" s="272" t="e">
        <f>+W61/W56</f>
        <v>#DIV/0!</v>
      </c>
      <c r="X74" s="272" t="e">
        <f>+X61/X56</f>
        <v>#DIV/0!</v>
      </c>
      <c r="Y74" s="272" t="e">
        <f>+Y61/Y56</f>
        <v>#DIV/0!</v>
      </c>
      <c r="Z74" s="272">
        <f>+Z61/Z56</f>
        <v>879.36423450767768</v>
      </c>
      <c r="AA74" s="272">
        <f>+AA61/AA56</f>
        <v>753.03349768601936</v>
      </c>
      <c r="AB74" s="272">
        <f>+AB61/AB56</f>
        <v>936.51181748946237</v>
      </c>
      <c r="AC74" s="272">
        <f>+AC61/AC56</f>
        <v>573.72051532671253</v>
      </c>
      <c r="AD74" s="272">
        <f>+AD61/AD56</f>
        <v>1137.849960176193</v>
      </c>
      <c r="AE74" s="272">
        <f>+AE61/AE56</f>
        <v>368.84882206181743</v>
      </c>
      <c r="AF74" s="272" t="e">
        <f>+AF61/AF56</f>
        <v>#DIV/0!</v>
      </c>
      <c r="AG74" s="272" t="e">
        <f>+AG61/AG56</f>
        <v>#DIV/0!</v>
      </c>
      <c r="AH74" s="272">
        <f>+AH61/AH56</f>
        <v>401.02049707969917</v>
      </c>
      <c r="AI74" s="272">
        <f>+AI61/AI56</f>
        <v>972.48163350648542</v>
      </c>
      <c r="AJ74" s="272">
        <f>+AJ61/AJ56</f>
        <v>513.21335372842941</v>
      </c>
      <c r="AK74" s="272">
        <f>+AK61/AK56</f>
        <v>452.58507140930055</v>
      </c>
      <c r="AL74" s="272">
        <f>+AL61/AL56</f>
        <v>1012.5590577503954</v>
      </c>
      <c r="AM74" s="183"/>
    </row>
    <row r="75" spans="1:39" x14ac:dyDescent="0.25">
      <c r="B75" s="71"/>
      <c r="C75" s="45"/>
      <c r="D75" s="84"/>
      <c r="E75" s="38" t="s">
        <v>88</v>
      </c>
      <c r="F75" s="272">
        <f>+F74*F62</f>
        <v>391.7317736826177</v>
      </c>
      <c r="G75" s="272">
        <f>+G74*G62</f>
        <v>130.60041355581086</v>
      </c>
      <c r="H75" s="272">
        <f>+H74*H62</f>
        <v>300.11071153047283</v>
      </c>
      <c r="I75" s="272">
        <f>+I74*I62</f>
        <v>267.7533644500968</v>
      </c>
      <c r="J75" s="272">
        <f>+J74*J62</f>
        <v>433.28500399839595</v>
      </c>
      <c r="K75" s="272">
        <f>+K74*K62</f>
        <v>310.00377824854991</v>
      </c>
      <c r="L75" s="272">
        <f>+L74*L62</f>
        <v>254.67891046188169</v>
      </c>
      <c r="M75" s="272">
        <f>+M74*M62</f>
        <v>417.54665324303306</v>
      </c>
      <c r="N75" s="272" t="e">
        <f>+N74*N62</f>
        <v>#DIV/0!</v>
      </c>
      <c r="O75" s="272" t="e">
        <f>+O74*O62</f>
        <v>#DIV/0!</v>
      </c>
      <c r="P75" s="272" t="e">
        <f>+P74*P62</f>
        <v>#DIV/0!</v>
      </c>
      <c r="Q75" s="272" t="e">
        <f>+Q74*Q62</f>
        <v>#DIV/0!</v>
      </c>
      <c r="R75" s="272">
        <f>+R74*R62</f>
        <v>434.35096165059804</v>
      </c>
      <c r="S75" s="272">
        <f>+S74*S62</f>
        <v>479.43048356139838</v>
      </c>
      <c r="T75" s="272">
        <f>+T74*T62</f>
        <v>562.84670771412311</v>
      </c>
      <c r="U75" s="272">
        <f>+U74*U62</f>
        <v>631.0342667292224</v>
      </c>
      <c r="V75" s="272" t="e">
        <f>+V74*V62</f>
        <v>#DIV/0!</v>
      </c>
      <c r="W75" s="272" t="e">
        <f>+W74*W62</f>
        <v>#DIV/0!</v>
      </c>
      <c r="X75" s="272" t="e">
        <f>+X74*X62</f>
        <v>#DIV/0!</v>
      </c>
      <c r="Y75" s="272" t="e">
        <f>+Y74*Y62</f>
        <v>#DIV/0!</v>
      </c>
      <c r="Z75" s="272">
        <f>+Z74*Z62</f>
        <v>879.36423450767768</v>
      </c>
      <c r="AA75" s="272">
        <f>+AA74*AA62</f>
        <v>753.03349768601936</v>
      </c>
      <c r="AB75" s="272">
        <f>+AB74*AB62</f>
        <v>936.51181748946237</v>
      </c>
      <c r="AC75" s="272">
        <f>+AC74*AC62</f>
        <v>573.72051532671253</v>
      </c>
      <c r="AD75" s="272">
        <f>+AD74*AD62</f>
        <v>1137.849960176193</v>
      </c>
      <c r="AE75" s="272">
        <f>+AE74*AE62</f>
        <v>368.84882206181743</v>
      </c>
      <c r="AF75" s="272" t="e">
        <f>+AF74*AF62</f>
        <v>#DIV/0!</v>
      </c>
      <c r="AG75" s="272" t="e">
        <f>+AG74*AG62</f>
        <v>#DIV/0!</v>
      </c>
      <c r="AH75" s="272">
        <f>+AH74*AH62</f>
        <v>401.02049707969917</v>
      </c>
      <c r="AI75" s="272">
        <f>+AI74*AI62</f>
        <v>972.48163350648542</v>
      </c>
      <c r="AJ75" s="272">
        <f>+AJ74*AJ62</f>
        <v>513.21335372842941</v>
      </c>
      <c r="AK75" s="272">
        <f>+AK74*AK62</f>
        <v>452.58507140930055</v>
      </c>
      <c r="AL75" s="272">
        <f>+AL74*AL62</f>
        <v>1012.5590577503954</v>
      </c>
      <c r="AM75" s="183"/>
    </row>
    <row r="76" spans="1:39" x14ac:dyDescent="0.25">
      <c r="B76" s="45"/>
      <c r="C76" s="45"/>
      <c r="D76" s="45"/>
      <c r="E76" s="45"/>
      <c r="F76" s="266"/>
      <c r="G76" s="33"/>
      <c r="H76" s="33"/>
      <c r="I76" s="33"/>
      <c r="J76" s="33"/>
      <c r="K76" s="33"/>
      <c r="L76" s="33"/>
      <c r="M76" s="33"/>
      <c r="N76" s="33"/>
      <c r="O76" s="33"/>
      <c r="P76" s="33"/>
      <c r="Q76" s="33"/>
      <c r="R76" s="33"/>
      <c r="S76" s="33"/>
      <c r="T76" s="33"/>
      <c r="U76" s="33"/>
      <c r="V76" s="33"/>
      <c r="W76" s="33"/>
      <c r="X76" s="33"/>
      <c r="Y76" s="33"/>
      <c r="Z76" s="33"/>
      <c r="AA76" s="33"/>
      <c r="AB76" s="33"/>
      <c r="AC76" s="33"/>
      <c r="AD76" s="33"/>
      <c r="AE76" s="33"/>
      <c r="AF76" s="33"/>
      <c r="AG76" s="33"/>
      <c r="AH76" s="33"/>
      <c r="AI76" s="33"/>
      <c r="AJ76" s="33"/>
      <c r="AK76" s="33"/>
      <c r="AL76" s="33"/>
      <c r="AM76" s="183"/>
    </row>
    <row r="77" spans="1:39" ht="14.45" customHeight="1" x14ac:dyDescent="0.25">
      <c r="B77" s="45"/>
      <c r="C77" s="45"/>
      <c r="D77" s="45"/>
      <c r="E77" s="45"/>
      <c r="F77" s="86"/>
      <c r="G77" s="279"/>
      <c r="H77" s="279"/>
      <c r="I77" s="279"/>
      <c r="J77" s="279"/>
      <c r="K77" s="279"/>
      <c r="L77" s="279"/>
      <c r="M77" s="279"/>
      <c r="N77" s="279"/>
      <c r="O77" s="279"/>
      <c r="P77" s="279"/>
      <c r="Q77" s="279"/>
      <c r="R77" s="279"/>
      <c r="S77" s="279"/>
      <c r="T77" s="279"/>
      <c r="U77" s="279"/>
      <c r="V77" s="279"/>
      <c r="W77" s="279"/>
      <c r="X77" s="279"/>
      <c r="Y77" s="279"/>
      <c r="Z77" s="279"/>
      <c r="AA77" s="279"/>
      <c r="AB77" s="279"/>
      <c r="AC77" s="279"/>
      <c r="AD77" s="279"/>
      <c r="AE77" s="279"/>
      <c r="AF77" s="279"/>
      <c r="AG77" s="279"/>
      <c r="AH77" s="279"/>
      <c r="AI77" s="279"/>
      <c r="AJ77" s="279"/>
      <c r="AK77" s="279"/>
      <c r="AL77" s="279"/>
      <c r="AM77" s="183"/>
    </row>
    <row r="78" spans="1:39" x14ac:dyDescent="0.25">
      <c r="B78" s="45"/>
      <c r="C78" s="45"/>
      <c r="D78" s="85" t="s">
        <v>72</v>
      </c>
      <c r="E78" s="45"/>
      <c r="F78" s="86"/>
      <c r="G78" s="279"/>
      <c r="H78" s="279"/>
      <c r="I78" s="279"/>
      <c r="J78" s="279"/>
      <c r="K78" s="279"/>
      <c r="L78" s="279"/>
      <c r="M78" s="279"/>
      <c r="N78" s="279"/>
      <c r="O78" s="279"/>
      <c r="P78" s="279"/>
      <c r="Q78" s="279"/>
      <c r="R78" s="279"/>
      <c r="S78" s="279"/>
      <c r="T78" s="279"/>
      <c r="U78" s="279"/>
      <c r="V78" s="279"/>
      <c r="W78" s="279"/>
      <c r="X78" s="279"/>
      <c r="Y78" s="279"/>
      <c r="Z78" s="279"/>
      <c r="AA78" s="279"/>
      <c r="AB78" s="279"/>
      <c r="AC78" s="279"/>
      <c r="AD78" s="279"/>
      <c r="AE78" s="279"/>
      <c r="AF78" s="279"/>
      <c r="AG78" s="279"/>
      <c r="AH78" s="279"/>
      <c r="AI78" s="279"/>
      <c r="AJ78" s="279"/>
      <c r="AK78" s="279"/>
      <c r="AL78" s="279"/>
      <c r="AM78" s="183"/>
    </row>
    <row r="79" spans="1:39" x14ac:dyDescent="0.25">
      <c r="B79" s="45"/>
      <c r="C79" s="45"/>
      <c r="D79" s="45"/>
      <c r="E79" s="45"/>
      <c r="F79" s="267"/>
      <c r="G79" s="277"/>
      <c r="H79" s="277"/>
      <c r="I79" s="277"/>
      <c r="J79" s="277"/>
      <c r="K79" s="277"/>
      <c r="L79" s="277"/>
      <c r="M79" s="277"/>
      <c r="N79" s="277"/>
      <c r="O79" s="277"/>
      <c r="P79" s="277"/>
      <c r="Q79" s="277"/>
      <c r="R79" s="277"/>
      <c r="S79" s="277"/>
      <c r="T79" s="277"/>
      <c r="U79" s="277"/>
      <c r="V79" s="277"/>
      <c r="W79" s="277"/>
      <c r="X79" s="277"/>
      <c r="Y79" s="277"/>
      <c r="Z79" s="277"/>
      <c r="AA79" s="277"/>
      <c r="AB79" s="277"/>
      <c r="AC79" s="277"/>
      <c r="AD79" s="277"/>
      <c r="AE79" s="277"/>
      <c r="AF79" s="277"/>
      <c r="AG79" s="277"/>
      <c r="AH79" s="277"/>
      <c r="AI79" s="277"/>
      <c r="AJ79" s="277"/>
      <c r="AK79" s="277"/>
      <c r="AL79" s="277"/>
      <c r="AM79" s="183"/>
    </row>
    <row r="80" spans="1:39" ht="15" customHeight="1" x14ac:dyDescent="0.25">
      <c r="A80" s="260" t="s">
        <v>92</v>
      </c>
      <c r="B80" s="57" t="s">
        <v>89</v>
      </c>
      <c r="C80" s="45"/>
      <c r="D80" s="38"/>
      <c r="E80" s="38" t="s">
        <v>179</v>
      </c>
      <c r="F80" s="38" t="str">
        <f>F54</f>
        <v>Total</v>
      </c>
      <c r="G80" s="285" t="str">
        <f>G54</f>
        <v>76680CO0220030</v>
      </c>
      <c r="H80" s="285" t="str">
        <f>H54</f>
        <v>76680CO0220033</v>
      </c>
      <c r="I80" s="285" t="str">
        <f>I54</f>
        <v>76680CO0220020</v>
      </c>
      <c r="J80" s="285" t="str">
        <f>J54</f>
        <v>76680CO0220023</v>
      </c>
      <c r="K80" s="285" t="str">
        <f>K54</f>
        <v>76680CO0220034</v>
      </c>
      <c r="L80" s="285" t="str">
        <f>L54</f>
        <v>76680CO0220021</v>
      </c>
      <c r="M80" s="285" t="str">
        <f>M54</f>
        <v>76680CO0220022</v>
      </c>
      <c r="N80" s="285" t="str">
        <f>N54</f>
        <v>76680CO0220043</v>
      </c>
      <c r="O80" s="285" t="str">
        <f>O54</f>
        <v>76680CO0220044</v>
      </c>
      <c r="P80" s="285" t="str">
        <f>P54</f>
        <v>76680CO0220040</v>
      </c>
      <c r="Q80" s="285" t="str">
        <f>Q54</f>
        <v>76680CO0220039</v>
      </c>
      <c r="R80" s="285" t="str">
        <f>R54</f>
        <v>76680CO0220031</v>
      </c>
      <c r="S80" s="285" t="str">
        <f>S54</f>
        <v>76680CO0220026</v>
      </c>
      <c r="T80" s="285" t="str">
        <f>T54</f>
        <v>76680CO0220025</v>
      </c>
      <c r="U80" s="285" t="str">
        <f>U54</f>
        <v>76680CO0220027</v>
      </c>
      <c r="V80" s="285" t="str">
        <f>V54</f>
        <v>76680CO0220041</v>
      </c>
      <c r="W80" s="285" t="str">
        <f>W54</f>
        <v>76680CO0220042</v>
      </c>
      <c r="X80" s="285" t="str">
        <f>X54</f>
        <v>76680CO0220048</v>
      </c>
      <c r="Y80" s="285" t="str">
        <f>Y54</f>
        <v>76680CO0220049</v>
      </c>
      <c r="Z80" s="285" t="str">
        <f>Z54</f>
        <v>76680CO0220037</v>
      </c>
      <c r="AA80" s="285" t="str">
        <f>AA54</f>
        <v>76680CO0220036</v>
      </c>
      <c r="AB80" s="285" t="str">
        <f>AB54</f>
        <v>76680CO0220035</v>
      </c>
      <c r="AC80" s="285" t="str">
        <f>AC54</f>
        <v>76680CO0220032</v>
      </c>
      <c r="AD80" s="285" t="str">
        <f>AD54</f>
        <v>76680CO0220028</v>
      </c>
      <c r="AE80" s="285" t="str">
        <f>AE54</f>
        <v>76680CO0220024</v>
      </c>
      <c r="AF80" s="285" t="str">
        <f>AF54</f>
        <v>76680CO0250023</v>
      </c>
      <c r="AG80" s="285" t="str">
        <f>AG54</f>
        <v>76680CO0250024</v>
      </c>
      <c r="AH80" s="285" t="str">
        <f>AH54</f>
        <v>76680CO0250022</v>
      </c>
      <c r="AI80" s="285" t="str">
        <f>AI54</f>
        <v>76680CO0250021</v>
      </c>
      <c r="AJ80" s="285" t="str">
        <f>AJ54</f>
        <v>76680CO0250020</v>
      </c>
      <c r="AK80" s="285" t="str">
        <f>AK54</f>
        <v>76680CO0380005</v>
      </c>
      <c r="AL80" s="285" t="str">
        <f>AL54</f>
        <v>76680CO0380006</v>
      </c>
      <c r="AM80" s="183"/>
    </row>
    <row r="81" spans="1:39" x14ac:dyDescent="0.25">
      <c r="A81" s="259"/>
      <c r="B81" s="375"/>
      <c r="C81" s="45"/>
      <c r="D81" s="379" t="s">
        <v>44</v>
      </c>
      <c r="E81" s="64" t="s">
        <v>187</v>
      </c>
      <c r="F81" s="352">
        <f>SUMPRODUCT(G81:AL81,G82:AL82)/SUM(G82:AL82)</f>
        <v>675.87047399066614</v>
      </c>
      <c r="G81" s="356">
        <v>450.59323038564247</v>
      </c>
      <c r="H81" s="356">
        <v>573.11533149782429</v>
      </c>
      <c r="I81" s="356">
        <v>635.24441936564733</v>
      </c>
      <c r="J81" s="356">
        <v>672.984710995657</v>
      </c>
      <c r="K81" s="356">
        <v>686.65367222207158</v>
      </c>
      <c r="L81" s="356">
        <v>628.99036626885675</v>
      </c>
      <c r="M81" s="356">
        <v>656.12282992899247</v>
      </c>
      <c r="N81" s="356">
        <v>607.08159396483279</v>
      </c>
      <c r="O81" s="356">
        <v>591.9059313490194</v>
      </c>
      <c r="P81" s="356">
        <v>606.78856397536742</v>
      </c>
      <c r="Q81" s="356">
        <v>674.11541625076086</v>
      </c>
      <c r="R81" s="356">
        <v>696.33524090395122</v>
      </c>
      <c r="S81" s="356">
        <v>799.58830693374387</v>
      </c>
      <c r="T81" s="356">
        <v>772.15783930894122</v>
      </c>
      <c r="U81" s="356">
        <v>789.87638745398408</v>
      </c>
      <c r="V81" s="356">
        <v>686.55564618733081</v>
      </c>
      <c r="W81" s="356">
        <v>691.2740822845409</v>
      </c>
      <c r="X81" s="356">
        <v>1056.3132700040023</v>
      </c>
      <c r="Y81" s="356">
        <v>952.07898972682437</v>
      </c>
      <c r="Z81" s="356">
        <v>0</v>
      </c>
      <c r="AA81" s="356">
        <v>0</v>
      </c>
      <c r="AB81" s="356">
        <v>0</v>
      </c>
      <c r="AC81" s="356">
        <v>0</v>
      </c>
      <c r="AD81" s="356">
        <v>0</v>
      </c>
      <c r="AE81" s="356">
        <v>0</v>
      </c>
      <c r="AF81" s="356">
        <v>658.75938596276319</v>
      </c>
      <c r="AG81" s="356">
        <v>668.14197092846325</v>
      </c>
      <c r="AH81" s="356">
        <v>0</v>
      </c>
      <c r="AI81" s="356">
        <v>0</v>
      </c>
      <c r="AJ81" s="356">
        <v>0</v>
      </c>
      <c r="AK81" s="356">
        <v>0</v>
      </c>
      <c r="AL81" s="356">
        <v>0</v>
      </c>
      <c r="AM81" s="183"/>
    </row>
    <row r="82" spans="1:39" x14ac:dyDescent="0.25">
      <c r="A82" s="259" t="str">
        <f>IF(ABS(B82/F82-1)&lt;0.02,"OK","WARNING")</f>
        <v>OK</v>
      </c>
      <c r="B82" s="67">
        <f>+'Wksh 1 - Market Experience'!X47</f>
        <v>503998</v>
      </c>
      <c r="C82" s="45"/>
      <c r="D82" s="380"/>
      <c r="E82" s="64" t="s">
        <v>35</v>
      </c>
      <c r="F82" s="262">
        <f>SUM(G82:AL82)</f>
        <v>503998</v>
      </c>
      <c r="G82" s="287">
        <f>G48</f>
        <v>19138</v>
      </c>
      <c r="H82" s="287">
        <f>H48</f>
        <v>13716</v>
      </c>
      <c r="I82" s="287">
        <f>I48</f>
        <v>56041</v>
      </c>
      <c r="J82" s="287">
        <f>J48</f>
        <v>35324</v>
      </c>
      <c r="K82" s="287">
        <f>K48</f>
        <v>18747</v>
      </c>
      <c r="L82" s="287">
        <f>L48</f>
        <v>96885</v>
      </c>
      <c r="M82" s="287">
        <f>M48</f>
        <v>83575</v>
      </c>
      <c r="N82" s="287">
        <f>N48</f>
        <v>183</v>
      </c>
      <c r="O82" s="287">
        <f>O48</f>
        <v>183</v>
      </c>
      <c r="P82" s="287">
        <f>P48</f>
        <v>5963</v>
      </c>
      <c r="Q82" s="287">
        <f>Q48</f>
        <v>68646</v>
      </c>
      <c r="R82" s="287">
        <f>R48</f>
        <v>3670</v>
      </c>
      <c r="S82" s="287">
        <f>S48</f>
        <v>9709</v>
      </c>
      <c r="T82" s="287">
        <f>T48</f>
        <v>37266</v>
      </c>
      <c r="U82" s="287">
        <f>U48</f>
        <v>24743</v>
      </c>
      <c r="V82" s="287">
        <f>V48</f>
        <v>822</v>
      </c>
      <c r="W82" s="287">
        <f>W48</f>
        <v>822</v>
      </c>
      <c r="X82" s="287">
        <f>X48</f>
        <v>18349</v>
      </c>
      <c r="Y82" s="287">
        <f>Y48</f>
        <v>459</v>
      </c>
      <c r="Z82" s="287">
        <f>Z48</f>
        <v>0</v>
      </c>
      <c r="AA82" s="287">
        <f>AA48</f>
        <v>0</v>
      </c>
      <c r="AB82" s="287">
        <f>AB48</f>
        <v>0</v>
      </c>
      <c r="AC82" s="287">
        <f>AC48</f>
        <v>0</v>
      </c>
      <c r="AD82" s="287">
        <f>AD48</f>
        <v>0</v>
      </c>
      <c r="AE82" s="287">
        <f>AE48</f>
        <v>0</v>
      </c>
      <c r="AF82" s="287">
        <f>AF48</f>
        <v>9478</v>
      </c>
      <c r="AG82" s="287">
        <f>AG48</f>
        <v>279</v>
      </c>
      <c r="AH82" s="287">
        <f>AH48</f>
        <v>0</v>
      </c>
      <c r="AI82" s="287">
        <f>AI48</f>
        <v>0</v>
      </c>
      <c r="AJ82" s="287">
        <f>AJ48</f>
        <v>0</v>
      </c>
      <c r="AK82" s="287">
        <f>AK48</f>
        <v>0</v>
      </c>
      <c r="AL82" s="287">
        <f>AL48</f>
        <v>0</v>
      </c>
      <c r="AM82" s="183"/>
    </row>
    <row r="83" spans="1:39" ht="14.45" customHeight="1" x14ac:dyDescent="0.25">
      <c r="A83" s="259" t="str">
        <f>IF(ABS(B83/F83-1)&lt;0.05,"OK","WARNING")</f>
        <v>OK</v>
      </c>
      <c r="B83" s="69">
        <f>+'Wksh 1 - Market Experience'!X43</f>
        <v>340635934.64486134</v>
      </c>
      <c r="C83" s="45"/>
      <c r="D83" s="380"/>
      <c r="E83" s="70" t="s">
        <v>46</v>
      </c>
      <c r="F83" s="347">
        <f>SUM(G83:AL83)</f>
        <v>340637347.64000005</v>
      </c>
      <c r="G83" s="373">
        <v>8507432.5700000003</v>
      </c>
      <c r="H83" s="373">
        <v>9998028.4700000007</v>
      </c>
      <c r="I83" s="373">
        <v>35120770.700000003</v>
      </c>
      <c r="J83" s="373">
        <v>23452674.550000001</v>
      </c>
      <c r="K83" s="373">
        <v>12699506.050000001</v>
      </c>
      <c r="L83" s="373">
        <v>60119843.340000004</v>
      </c>
      <c r="M83" s="373">
        <v>54097704.520000003</v>
      </c>
      <c r="N83" s="373">
        <v>141300.28</v>
      </c>
      <c r="O83" s="373">
        <v>137768.09</v>
      </c>
      <c r="P83" s="373">
        <v>4602004.75</v>
      </c>
      <c r="Q83" s="373">
        <v>45652734.710000001</v>
      </c>
      <c r="R83" s="373">
        <v>3250343.84</v>
      </c>
      <c r="S83" s="373">
        <v>7658756.0800000001</v>
      </c>
      <c r="T83" s="373">
        <v>28388089.609999999</v>
      </c>
      <c r="U83" s="373">
        <v>19280966.02</v>
      </c>
      <c r="V83" s="373">
        <v>556755.94999999995</v>
      </c>
      <c r="W83" s="373">
        <v>560582.31999999995</v>
      </c>
      <c r="X83" s="373">
        <v>19121521.190000001</v>
      </c>
      <c r="Y83" s="373">
        <v>555815.35</v>
      </c>
      <c r="Z83" s="373">
        <v>0</v>
      </c>
      <c r="AA83" s="373">
        <v>0</v>
      </c>
      <c r="AB83" s="373">
        <v>0</v>
      </c>
      <c r="AC83" s="373">
        <v>0</v>
      </c>
      <c r="AD83" s="373">
        <v>0</v>
      </c>
      <c r="AE83" s="373">
        <v>0</v>
      </c>
      <c r="AF83" s="373">
        <v>6539506.7199999997</v>
      </c>
      <c r="AG83" s="373">
        <v>195242.53</v>
      </c>
      <c r="AH83" s="373">
        <v>0</v>
      </c>
      <c r="AI83" s="373">
        <v>0</v>
      </c>
      <c r="AJ83" s="373">
        <v>0</v>
      </c>
      <c r="AK83" s="373">
        <v>0</v>
      </c>
      <c r="AL83" s="373">
        <v>0</v>
      </c>
      <c r="AM83" s="183"/>
    </row>
    <row r="84" spans="1:39" ht="31.15" customHeight="1" x14ac:dyDescent="0.25">
      <c r="B84" s="71"/>
      <c r="C84" s="45"/>
      <c r="D84" s="380"/>
      <c r="E84" s="72" t="s">
        <v>188</v>
      </c>
      <c r="F84" s="351">
        <f>SUMPRODUCT($G$83:$AL$83,G84:AL84)/$F$83</f>
        <v>1</v>
      </c>
      <c r="G84" s="374">
        <v>1</v>
      </c>
      <c r="H84" s="374">
        <v>1</v>
      </c>
      <c r="I84" s="374">
        <v>1</v>
      </c>
      <c r="J84" s="374">
        <v>1</v>
      </c>
      <c r="K84" s="374">
        <v>1</v>
      </c>
      <c r="L84" s="374">
        <v>1</v>
      </c>
      <c r="M84" s="374">
        <v>1</v>
      </c>
      <c r="N84" s="374">
        <v>1</v>
      </c>
      <c r="O84" s="374">
        <v>1</v>
      </c>
      <c r="P84" s="374">
        <v>1</v>
      </c>
      <c r="Q84" s="374">
        <v>1</v>
      </c>
      <c r="R84" s="374">
        <v>1</v>
      </c>
      <c r="S84" s="374">
        <v>1</v>
      </c>
      <c r="T84" s="374">
        <v>1</v>
      </c>
      <c r="U84" s="374">
        <v>1</v>
      </c>
      <c r="V84" s="374">
        <v>1</v>
      </c>
      <c r="W84" s="374">
        <v>1</v>
      </c>
      <c r="X84" s="374">
        <v>1</v>
      </c>
      <c r="Y84" s="374">
        <v>1</v>
      </c>
      <c r="Z84" s="374">
        <v>0</v>
      </c>
      <c r="AA84" s="374">
        <v>0</v>
      </c>
      <c r="AB84" s="374">
        <v>0</v>
      </c>
      <c r="AC84" s="374">
        <v>0</v>
      </c>
      <c r="AD84" s="374">
        <v>0</v>
      </c>
      <c r="AE84" s="374">
        <v>0</v>
      </c>
      <c r="AF84" s="374">
        <v>1</v>
      </c>
      <c r="AG84" s="374">
        <v>1</v>
      </c>
      <c r="AH84" s="374">
        <v>0</v>
      </c>
      <c r="AI84" s="374">
        <v>0</v>
      </c>
      <c r="AJ84" s="374">
        <v>0</v>
      </c>
      <c r="AK84" s="374">
        <v>0</v>
      </c>
      <c r="AL84" s="374">
        <v>0</v>
      </c>
      <c r="AM84" s="183"/>
    </row>
    <row r="85" spans="1:39" ht="31.15" customHeight="1" x14ac:dyDescent="0.25">
      <c r="B85" s="71"/>
      <c r="C85" s="45"/>
      <c r="D85" s="380"/>
      <c r="E85" s="72" t="s">
        <v>66</v>
      </c>
      <c r="F85" s="351">
        <f>SUMPRODUCT($G$83:$AL$83,G85:AL85)/$F$83</f>
        <v>0</v>
      </c>
      <c r="G85" s="374">
        <v>0</v>
      </c>
      <c r="H85" s="374">
        <v>0</v>
      </c>
      <c r="I85" s="374">
        <v>0</v>
      </c>
      <c r="J85" s="374">
        <v>0</v>
      </c>
      <c r="K85" s="374">
        <v>0</v>
      </c>
      <c r="L85" s="374">
        <v>0</v>
      </c>
      <c r="M85" s="374">
        <v>0</v>
      </c>
      <c r="N85" s="374">
        <v>0</v>
      </c>
      <c r="O85" s="374">
        <v>0</v>
      </c>
      <c r="P85" s="374">
        <v>0</v>
      </c>
      <c r="Q85" s="374">
        <v>0</v>
      </c>
      <c r="R85" s="374">
        <v>0</v>
      </c>
      <c r="S85" s="374">
        <v>0</v>
      </c>
      <c r="T85" s="374">
        <v>0</v>
      </c>
      <c r="U85" s="374">
        <v>0</v>
      </c>
      <c r="V85" s="374">
        <v>0</v>
      </c>
      <c r="W85" s="374">
        <v>0</v>
      </c>
      <c r="X85" s="374">
        <v>0</v>
      </c>
      <c r="Y85" s="374">
        <v>0</v>
      </c>
      <c r="Z85" s="374">
        <v>0</v>
      </c>
      <c r="AA85" s="374">
        <v>0</v>
      </c>
      <c r="AB85" s="374">
        <v>0</v>
      </c>
      <c r="AC85" s="374">
        <v>0</v>
      </c>
      <c r="AD85" s="374">
        <v>0</v>
      </c>
      <c r="AE85" s="374">
        <v>0</v>
      </c>
      <c r="AF85" s="374">
        <v>0</v>
      </c>
      <c r="AG85" s="374">
        <v>0</v>
      </c>
      <c r="AH85" s="374">
        <v>0</v>
      </c>
      <c r="AI85" s="374">
        <v>0</v>
      </c>
      <c r="AJ85" s="374">
        <v>0</v>
      </c>
      <c r="AK85" s="374">
        <v>0</v>
      </c>
      <c r="AL85" s="374">
        <v>0</v>
      </c>
      <c r="AM85" s="183"/>
    </row>
    <row r="86" spans="1:39" ht="14.45" customHeight="1" x14ac:dyDescent="0.25">
      <c r="B86" s="71"/>
      <c r="C86" s="45"/>
      <c r="D86" s="380"/>
      <c r="E86" s="72" t="s">
        <v>67</v>
      </c>
      <c r="F86" s="351">
        <f>1-F84-F85</f>
        <v>0</v>
      </c>
      <c r="G86" s="271">
        <f>1-G85-G84</f>
        <v>0</v>
      </c>
      <c r="H86" s="271">
        <f>1-H85-H84</f>
        <v>0</v>
      </c>
      <c r="I86" s="271">
        <f>1-I85-I84</f>
        <v>0</v>
      </c>
      <c r="J86" s="271">
        <f>1-J85-J84</f>
        <v>0</v>
      </c>
      <c r="K86" s="271">
        <f>1-K85-K84</f>
        <v>0</v>
      </c>
      <c r="L86" s="271">
        <f>1-L85-L84</f>
        <v>0</v>
      </c>
      <c r="M86" s="271">
        <f>1-M85-M84</f>
        <v>0</v>
      </c>
      <c r="N86" s="271">
        <f>1-N85-N84</f>
        <v>0</v>
      </c>
      <c r="O86" s="271">
        <f>1-O85-O84</f>
        <v>0</v>
      </c>
      <c r="P86" s="271">
        <f>1-P85-P84</f>
        <v>0</v>
      </c>
      <c r="Q86" s="271">
        <f>1-Q85-Q84</f>
        <v>0</v>
      </c>
      <c r="R86" s="271">
        <f>1-R85-R84</f>
        <v>0</v>
      </c>
      <c r="S86" s="271">
        <f>1-S85-S84</f>
        <v>0</v>
      </c>
      <c r="T86" s="271">
        <f>1-T85-T84</f>
        <v>0</v>
      </c>
      <c r="U86" s="271">
        <f>1-U85-U84</f>
        <v>0</v>
      </c>
      <c r="V86" s="271">
        <f>1-V85-V84</f>
        <v>0</v>
      </c>
      <c r="W86" s="271">
        <f>1-W85-W84</f>
        <v>0</v>
      </c>
      <c r="X86" s="271">
        <f>1-X85-X84</f>
        <v>0</v>
      </c>
      <c r="Y86" s="271">
        <f>1-Y85-Y84</f>
        <v>0</v>
      </c>
      <c r="Z86" s="271">
        <f>1-Z85-Z84</f>
        <v>1</v>
      </c>
      <c r="AA86" s="271">
        <f>1-AA85-AA84</f>
        <v>1</v>
      </c>
      <c r="AB86" s="271">
        <f>1-AB85-AB84</f>
        <v>1</v>
      </c>
      <c r="AC86" s="271">
        <f>1-AC85-AC84</f>
        <v>1</v>
      </c>
      <c r="AD86" s="271">
        <f>1-AD85-AD84</f>
        <v>1</v>
      </c>
      <c r="AE86" s="271">
        <f>1-AE85-AE84</f>
        <v>1</v>
      </c>
      <c r="AF86" s="271">
        <f>1-AF85-AF84</f>
        <v>0</v>
      </c>
      <c r="AG86" s="271">
        <f>1-AG85-AG84</f>
        <v>0</v>
      </c>
      <c r="AH86" s="271">
        <f>1-AH85-AH84</f>
        <v>1</v>
      </c>
      <c r="AI86" s="271">
        <f>1-AI85-AI84</f>
        <v>1</v>
      </c>
      <c r="AJ86" s="271">
        <f>1-AJ85-AJ84</f>
        <v>1</v>
      </c>
      <c r="AK86" s="271">
        <f>1-AK85-AK84</f>
        <v>1</v>
      </c>
      <c r="AL86" s="271">
        <f>1-AL85-AL84</f>
        <v>1</v>
      </c>
      <c r="AM86" s="183"/>
    </row>
    <row r="87" spans="1:39" x14ac:dyDescent="0.25">
      <c r="A87" s="259" t="str">
        <f>IF(ABS(B87/F87-1)&lt;0.1,"OK","WARNING")</f>
        <v>OK</v>
      </c>
      <c r="B87" s="67">
        <f>'Wksh 1 - Market Experience'!X32</f>
        <v>384488419.79014474</v>
      </c>
      <c r="C87" s="45"/>
      <c r="D87" s="379" t="s">
        <v>45</v>
      </c>
      <c r="E87" s="73" t="s">
        <v>68</v>
      </c>
      <c r="F87" s="347">
        <f>SUM(G87:AL87)</f>
        <v>384493239.20843333</v>
      </c>
      <c r="G87" s="348">
        <v>10196749.032526182</v>
      </c>
      <c r="H87" s="348">
        <v>11831506.450178152</v>
      </c>
      <c r="I87" s="348">
        <v>41877750.698000424</v>
      </c>
      <c r="J87" s="348">
        <v>26895892.12322434</v>
      </c>
      <c r="K87" s="348">
        <v>14187764.86723334</v>
      </c>
      <c r="L87" s="348">
        <v>72327902.661743596</v>
      </c>
      <c r="M87" s="348">
        <v>62877031.852622524</v>
      </c>
      <c r="N87" s="348">
        <v>161275.74281966238</v>
      </c>
      <c r="O87" s="348">
        <v>159355.17721353413</v>
      </c>
      <c r="P87" s="348">
        <v>5154059.2376695126</v>
      </c>
      <c r="Q87" s="348">
        <v>51396336.493856154</v>
      </c>
      <c r="R87" s="348">
        <v>3326736.1714698989</v>
      </c>
      <c r="S87" s="348">
        <v>7773237.1555014569</v>
      </c>
      <c r="T87" s="348">
        <v>29265202.596303761</v>
      </c>
      <c r="U87" s="348">
        <v>19504736.203344125</v>
      </c>
      <c r="V87" s="348">
        <v>615320.45722440979</v>
      </c>
      <c r="W87" s="348">
        <v>622377.1021756765</v>
      </c>
      <c r="X87" s="348">
        <v>18107950.690837394</v>
      </c>
      <c r="Y87" s="348">
        <v>522586.36171936104</v>
      </c>
      <c r="Z87" s="348">
        <v>0</v>
      </c>
      <c r="AA87" s="348">
        <v>0</v>
      </c>
      <c r="AB87" s="348">
        <v>0</v>
      </c>
      <c r="AC87" s="348">
        <v>0</v>
      </c>
      <c r="AD87" s="348">
        <v>0</v>
      </c>
      <c r="AE87" s="348">
        <v>0</v>
      </c>
      <c r="AF87" s="348">
        <v>7466969.5806132779</v>
      </c>
      <c r="AG87" s="348">
        <v>222498.55215663131</v>
      </c>
      <c r="AH87" s="348">
        <v>0</v>
      </c>
      <c r="AI87" s="348">
        <v>0</v>
      </c>
      <c r="AJ87" s="348">
        <v>0</v>
      </c>
      <c r="AK87" s="348">
        <v>0</v>
      </c>
      <c r="AL87" s="348">
        <v>0</v>
      </c>
      <c r="AM87" s="183"/>
    </row>
    <row r="88" spans="1:39" ht="30.75" customHeight="1" x14ac:dyDescent="0.25">
      <c r="B88" s="71"/>
      <c r="C88" s="45"/>
      <c r="D88" s="380"/>
      <c r="E88" s="72" t="s">
        <v>189</v>
      </c>
      <c r="F88" s="351">
        <f>SUMPRODUCT($G$87:$AL$87,G88:AL88)/$F$87</f>
        <v>1</v>
      </c>
      <c r="G88" s="374">
        <v>1</v>
      </c>
      <c r="H88" s="374">
        <v>1</v>
      </c>
      <c r="I88" s="374">
        <v>1</v>
      </c>
      <c r="J88" s="374">
        <v>1</v>
      </c>
      <c r="K88" s="374">
        <v>1</v>
      </c>
      <c r="L88" s="374">
        <v>1</v>
      </c>
      <c r="M88" s="374">
        <v>1</v>
      </c>
      <c r="N88" s="374">
        <v>1</v>
      </c>
      <c r="O88" s="374">
        <v>1</v>
      </c>
      <c r="P88" s="374">
        <v>1</v>
      </c>
      <c r="Q88" s="374">
        <v>1</v>
      </c>
      <c r="R88" s="374">
        <v>1</v>
      </c>
      <c r="S88" s="374">
        <v>1</v>
      </c>
      <c r="T88" s="374">
        <v>1</v>
      </c>
      <c r="U88" s="374">
        <v>1</v>
      </c>
      <c r="V88" s="374">
        <v>1</v>
      </c>
      <c r="W88" s="374">
        <v>1</v>
      </c>
      <c r="X88" s="374">
        <v>1</v>
      </c>
      <c r="Y88" s="374">
        <v>1</v>
      </c>
      <c r="Z88" s="374">
        <v>0</v>
      </c>
      <c r="AA88" s="374">
        <v>0</v>
      </c>
      <c r="AB88" s="374">
        <v>0</v>
      </c>
      <c r="AC88" s="374">
        <v>0</v>
      </c>
      <c r="AD88" s="374">
        <v>0</v>
      </c>
      <c r="AE88" s="374">
        <v>0</v>
      </c>
      <c r="AF88" s="374">
        <v>1</v>
      </c>
      <c r="AG88" s="374">
        <v>1</v>
      </c>
      <c r="AH88" s="374">
        <v>0</v>
      </c>
      <c r="AI88" s="374">
        <v>0</v>
      </c>
      <c r="AJ88" s="374">
        <v>0</v>
      </c>
      <c r="AK88" s="374">
        <v>0</v>
      </c>
      <c r="AL88" s="374">
        <v>0</v>
      </c>
      <c r="AM88" s="183"/>
    </row>
    <row r="89" spans="1:39" ht="30.75" customHeight="1" x14ac:dyDescent="0.25">
      <c r="B89" s="71"/>
      <c r="C89" s="45"/>
      <c r="D89" s="380"/>
      <c r="E89" s="72" t="s">
        <v>69</v>
      </c>
      <c r="F89" s="351">
        <f>SUMPRODUCT($G$87:$AL$87,G89:AL89)/$F$87</f>
        <v>0</v>
      </c>
      <c r="G89" s="374">
        <v>0</v>
      </c>
      <c r="H89" s="374">
        <v>0</v>
      </c>
      <c r="I89" s="374">
        <v>0</v>
      </c>
      <c r="J89" s="374">
        <v>0</v>
      </c>
      <c r="K89" s="374">
        <v>0</v>
      </c>
      <c r="L89" s="374">
        <v>0</v>
      </c>
      <c r="M89" s="374">
        <v>0</v>
      </c>
      <c r="N89" s="374">
        <v>0</v>
      </c>
      <c r="O89" s="374">
        <v>0</v>
      </c>
      <c r="P89" s="374">
        <v>0</v>
      </c>
      <c r="Q89" s="374">
        <v>0</v>
      </c>
      <c r="R89" s="374">
        <v>0</v>
      </c>
      <c r="S89" s="374">
        <v>0</v>
      </c>
      <c r="T89" s="374">
        <v>0</v>
      </c>
      <c r="U89" s="374">
        <v>0</v>
      </c>
      <c r="V89" s="374">
        <v>0</v>
      </c>
      <c r="W89" s="374">
        <v>0</v>
      </c>
      <c r="X89" s="374">
        <v>0</v>
      </c>
      <c r="Y89" s="374">
        <v>0</v>
      </c>
      <c r="Z89" s="374">
        <v>0</v>
      </c>
      <c r="AA89" s="374">
        <v>0</v>
      </c>
      <c r="AB89" s="374">
        <v>0</v>
      </c>
      <c r="AC89" s="374">
        <v>0</v>
      </c>
      <c r="AD89" s="374">
        <v>0</v>
      </c>
      <c r="AE89" s="374">
        <v>0</v>
      </c>
      <c r="AF89" s="374">
        <v>0</v>
      </c>
      <c r="AG89" s="374">
        <v>0</v>
      </c>
      <c r="AH89" s="374">
        <v>0</v>
      </c>
      <c r="AI89" s="374">
        <v>0</v>
      </c>
      <c r="AJ89" s="374">
        <v>0</v>
      </c>
      <c r="AK89" s="374">
        <v>0</v>
      </c>
      <c r="AL89" s="374">
        <v>0</v>
      </c>
      <c r="AM89" s="183"/>
    </row>
    <row r="90" spans="1:39" ht="17.25" customHeight="1" x14ac:dyDescent="0.25">
      <c r="B90" s="71"/>
      <c r="C90" s="45"/>
      <c r="D90" s="380"/>
      <c r="E90" s="72" t="s">
        <v>70</v>
      </c>
      <c r="F90" s="351">
        <f>1-F88-F89</f>
        <v>0</v>
      </c>
      <c r="G90" s="271">
        <f>1-G89-G88</f>
        <v>0</v>
      </c>
      <c r="H90" s="271">
        <f>1-H89-H88</f>
        <v>0</v>
      </c>
      <c r="I90" s="271">
        <f>1-I89-I88</f>
        <v>0</v>
      </c>
      <c r="J90" s="271">
        <f>1-J89-J88</f>
        <v>0</v>
      </c>
      <c r="K90" s="271">
        <f>1-K89-K88</f>
        <v>0</v>
      </c>
      <c r="L90" s="271">
        <f>1-L89-L88</f>
        <v>0</v>
      </c>
      <c r="M90" s="271">
        <f>1-M89-M88</f>
        <v>0</v>
      </c>
      <c r="N90" s="271">
        <f>1-N89-N88</f>
        <v>0</v>
      </c>
      <c r="O90" s="271">
        <f>1-O89-O88</f>
        <v>0</v>
      </c>
      <c r="P90" s="271">
        <f>1-P89-P88</f>
        <v>0</v>
      </c>
      <c r="Q90" s="271">
        <f>1-Q89-Q88</f>
        <v>0</v>
      </c>
      <c r="R90" s="271">
        <f>1-R89-R88</f>
        <v>0</v>
      </c>
      <c r="S90" s="271">
        <f>1-S89-S88</f>
        <v>0</v>
      </c>
      <c r="T90" s="271">
        <f>1-T89-T88</f>
        <v>0</v>
      </c>
      <c r="U90" s="271">
        <f>1-U89-U88</f>
        <v>0</v>
      </c>
      <c r="V90" s="271">
        <f>1-V89-V88</f>
        <v>0</v>
      </c>
      <c r="W90" s="271">
        <f>1-W89-W88</f>
        <v>0</v>
      </c>
      <c r="X90" s="271">
        <f>1-X89-X88</f>
        <v>0</v>
      </c>
      <c r="Y90" s="271">
        <f>1-Y89-Y88</f>
        <v>0</v>
      </c>
      <c r="Z90" s="271">
        <f>1-Z89-Z88</f>
        <v>1</v>
      </c>
      <c r="AA90" s="271">
        <f>1-AA89-AA88</f>
        <v>1</v>
      </c>
      <c r="AB90" s="271">
        <f>1-AB89-AB88</f>
        <v>1</v>
      </c>
      <c r="AC90" s="271">
        <f>1-AC89-AC88</f>
        <v>1</v>
      </c>
      <c r="AD90" s="271">
        <f>1-AD89-AD88</f>
        <v>1</v>
      </c>
      <c r="AE90" s="271">
        <f>1-AE89-AE88</f>
        <v>1</v>
      </c>
      <c r="AF90" s="271">
        <f>1-AF89-AF88</f>
        <v>0</v>
      </c>
      <c r="AG90" s="271">
        <f>1-AG89-AG88</f>
        <v>0</v>
      </c>
      <c r="AH90" s="271">
        <f>1-AH89-AH88</f>
        <v>1</v>
      </c>
      <c r="AI90" s="271">
        <f>1-AI89-AI88</f>
        <v>1</v>
      </c>
      <c r="AJ90" s="271">
        <f>1-AJ89-AJ88</f>
        <v>1</v>
      </c>
      <c r="AK90" s="271">
        <f>1-AK89-AK88</f>
        <v>1</v>
      </c>
      <c r="AL90" s="271">
        <f>1-AL89-AL88</f>
        <v>1</v>
      </c>
      <c r="AM90" s="183"/>
    </row>
    <row r="91" spans="1:39" ht="30" customHeight="1" x14ac:dyDescent="0.25">
      <c r="B91" s="71"/>
      <c r="C91" s="45"/>
      <c r="D91" s="380"/>
      <c r="E91" s="74" t="s">
        <v>101</v>
      </c>
      <c r="F91" s="347">
        <f>SUM(G91:AL91)</f>
        <v>101508754.17080578</v>
      </c>
      <c r="G91" s="348">
        <v>3224243.5780423898</v>
      </c>
      <c r="H91" s="348">
        <v>3581504.1994751729</v>
      </c>
      <c r="I91" s="348">
        <v>12825749.307705898</v>
      </c>
      <c r="J91" s="348">
        <v>7471410.4634777829</v>
      </c>
      <c r="K91" s="348">
        <v>3665143.3690681979</v>
      </c>
      <c r="L91" s="348">
        <v>22607916.255589336</v>
      </c>
      <c r="M91" s="348">
        <v>18095209.679012127</v>
      </c>
      <c r="N91" s="348">
        <v>44203.524294879433</v>
      </c>
      <c r="O91" s="348">
        <v>45278.406307203215</v>
      </c>
      <c r="P91" s="348">
        <v>1267014.2796786586</v>
      </c>
      <c r="Q91" s="348">
        <v>12832431.107619159</v>
      </c>
      <c r="R91" s="348">
        <v>632866.68258546805</v>
      </c>
      <c r="S91" s="348">
        <v>1408276.6289152447</v>
      </c>
      <c r="T91" s="348">
        <v>5688209.6794174314</v>
      </c>
      <c r="U91" s="348">
        <v>3484645.2089764364</v>
      </c>
      <c r="V91" s="348">
        <v>153996.93512568792</v>
      </c>
      <c r="W91" s="348">
        <v>157819.24472573982</v>
      </c>
      <c r="X91" s="348">
        <v>2149585.7781878468</v>
      </c>
      <c r="Y91" s="348">
        <v>59674.325530096598</v>
      </c>
      <c r="Z91" s="348">
        <v>0</v>
      </c>
      <c r="AA91" s="348">
        <v>0</v>
      </c>
      <c r="AB91" s="348">
        <v>0</v>
      </c>
      <c r="AC91" s="348">
        <v>0</v>
      </c>
      <c r="AD91" s="348">
        <v>0</v>
      </c>
      <c r="AE91" s="348">
        <v>0</v>
      </c>
      <c r="AF91" s="348">
        <v>2053038.6714071007</v>
      </c>
      <c r="AG91" s="348">
        <v>60536.845663935324</v>
      </c>
      <c r="AH91" s="348">
        <v>0</v>
      </c>
      <c r="AI91" s="348">
        <v>0</v>
      </c>
      <c r="AJ91" s="348">
        <v>0</v>
      </c>
      <c r="AK91" s="348">
        <v>0</v>
      </c>
      <c r="AL91" s="348">
        <v>0</v>
      </c>
      <c r="AM91" s="183"/>
    </row>
    <row r="92" spans="1:39" ht="30" customHeight="1" x14ac:dyDescent="0.25">
      <c r="B92" s="71"/>
      <c r="C92" s="45"/>
      <c r="D92" s="380"/>
      <c r="E92" s="75" t="s">
        <v>85</v>
      </c>
      <c r="F92" s="349">
        <f>SUM(G92:AL92)</f>
        <v>4903910.3606849201</v>
      </c>
      <c r="G92" s="350">
        <v>0</v>
      </c>
      <c r="H92" s="350">
        <v>4791.0882458054348</v>
      </c>
      <c r="I92" s="350">
        <v>19576.10257761928</v>
      </c>
      <c r="J92" s="350">
        <v>12339.246380700837</v>
      </c>
      <c r="K92" s="350">
        <v>6548.599809009268</v>
      </c>
      <c r="L92" s="350">
        <v>33843.62845862261</v>
      </c>
      <c r="M92" s="350">
        <v>29194.267795995656</v>
      </c>
      <c r="N92" s="350">
        <v>64.094826030841929</v>
      </c>
      <c r="O92" s="350">
        <v>64.094826030841929</v>
      </c>
      <c r="P92" s="350">
        <v>177254.7120164517</v>
      </c>
      <c r="Q92" s="350">
        <v>2040465.737030915</v>
      </c>
      <c r="R92" s="350">
        <v>109079.82277935489</v>
      </c>
      <c r="S92" s="350">
        <v>288599.94394767151</v>
      </c>
      <c r="T92" s="350">
        <v>1107710.7181920405</v>
      </c>
      <c r="U92" s="350">
        <v>735480.92382042157</v>
      </c>
      <c r="V92" s="350">
        <v>24432.704285736148</v>
      </c>
      <c r="W92" s="350">
        <v>24432.704285736148</v>
      </c>
      <c r="X92" s="350">
        <v>0</v>
      </c>
      <c r="Y92" s="350">
        <v>0</v>
      </c>
      <c r="Z92" s="350">
        <v>0</v>
      </c>
      <c r="AA92" s="350">
        <v>0</v>
      </c>
      <c r="AB92" s="350">
        <v>0</v>
      </c>
      <c r="AC92" s="350">
        <v>0</v>
      </c>
      <c r="AD92" s="350">
        <v>0</v>
      </c>
      <c r="AE92" s="350">
        <v>0</v>
      </c>
      <c r="AF92" s="350">
        <v>281724.85194962885</v>
      </c>
      <c r="AG92" s="350">
        <v>8307.1194571502929</v>
      </c>
      <c r="AH92" s="350">
        <v>0</v>
      </c>
      <c r="AI92" s="350">
        <v>0</v>
      </c>
      <c r="AJ92" s="350">
        <v>0</v>
      </c>
      <c r="AK92" s="350">
        <v>0</v>
      </c>
      <c r="AL92" s="350">
        <v>0</v>
      </c>
      <c r="AM92" s="183"/>
    </row>
    <row r="93" spans="1:39" ht="29.25" customHeight="1" x14ac:dyDescent="0.25">
      <c r="B93" s="71"/>
      <c r="C93" s="45"/>
      <c r="D93" s="83"/>
      <c r="E93" s="75" t="s">
        <v>86</v>
      </c>
      <c r="F93" s="351">
        <f>+F92/F91</f>
        <v>4.831022113061554E-2</v>
      </c>
      <c r="G93" s="341">
        <f>G92/G91</f>
        <v>0</v>
      </c>
      <c r="H93" s="341">
        <f>H92/H91</f>
        <v>1.337730735177558E-3</v>
      </c>
      <c r="I93" s="341">
        <f>I92/I91</f>
        <v>1.5263125847826819E-3</v>
      </c>
      <c r="J93" s="341">
        <f>J92/J91</f>
        <v>1.6515283748655377E-3</v>
      </c>
      <c r="K93" s="341">
        <f>K92/K91</f>
        <v>1.7867240513088417E-3</v>
      </c>
      <c r="L93" s="341">
        <f>L92/L91</f>
        <v>1.4969813261872587E-3</v>
      </c>
      <c r="M93" s="341">
        <f>M92/M91</f>
        <v>1.6133699644197469E-3</v>
      </c>
      <c r="N93" s="341">
        <f>N92/N91</f>
        <v>1.4499935707222946E-3</v>
      </c>
      <c r="O93" s="341">
        <f>O92/O91</f>
        <v>1.4155715993176478E-3</v>
      </c>
      <c r="P93" s="341">
        <f>P92/P91</f>
        <v>0.13989953772376362</v>
      </c>
      <c r="Q93" s="341">
        <f>Q92/Q91</f>
        <v>0.15900850898154473</v>
      </c>
      <c r="R93" s="341">
        <f>R92/R91</f>
        <v>0.17235829564250091</v>
      </c>
      <c r="S93" s="341">
        <f>S92/S91</f>
        <v>0.20493128837192434</v>
      </c>
      <c r="T93" s="341">
        <f>T92/T91</f>
        <v>0.19473802490091904</v>
      </c>
      <c r="U93" s="341">
        <f>U92/U91</f>
        <v>0.21106335931297246</v>
      </c>
      <c r="V93" s="341">
        <f>V92/V91</f>
        <v>0.15865708149188079</v>
      </c>
      <c r="W93" s="341">
        <f>W92/W91</f>
        <v>0.15481447987028196</v>
      </c>
      <c r="X93" s="341">
        <f>X92/X91</f>
        <v>0</v>
      </c>
      <c r="Y93" s="341">
        <f>Y92/Y91</f>
        <v>0</v>
      </c>
      <c r="Z93" s="341" t="e">
        <f>Z92/Z91</f>
        <v>#DIV/0!</v>
      </c>
      <c r="AA93" s="341" t="e">
        <f>AA92/AA91</f>
        <v>#DIV/0!</v>
      </c>
      <c r="AB93" s="341" t="e">
        <f>AB92/AB91</f>
        <v>#DIV/0!</v>
      </c>
      <c r="AC93" s="341" t="e">
        <f>AC92/AC91</f>
        <v>#DIV/0!</v>
      </c>
      <c r="AD93" s="341" t="e">
        <f>AD92/AD91</f>
        <v>#DIV/0!</v>
      </c>
      <c r="AE93" s="341" t="e">
        <f>AE92/AE91</f>
        <v>#DIV/0!</v>
      </c>
      <c r="AF93" s="341">
        <f>AF92/AF91</f>
        <v>0.13722335378930869</v>
      </c>
      <c r="AG93" s="341">
        <f>AG92/AG91</f>
        <v>0.13722418745215922</v>
      </c>
      <c r="AH93" s="341" t="e">
        <f>AH92/AH91</f>
        <v>#DIV/0!</v>
      </c>
      <c r="AI93" s="341" t="e">
        <f>AI92/AI91</f>
        <v>#DIV/0!</v>
      </c>
      <c r="AJ93" s="341" t="e">
        <f>AJ92/AJ91</f>
        <v>#DIV/0!</v>
      </c>
      <c r="AK93" s="341" t="e">
        <f>AK92/AK91</f>
        <v>#DIV/0!</v>
      </c>
      <c r="AL93" s="341" t="e">
        <f>AL92/AL91</f>
        <v>#DIV/0!</v>
      </c>
      <c r="AM93" s="183"/>
    </row>
    <row r="94" spans="1:39" ht="30" x14ac:dyDescent="0.25">
      <c r="A94" s="259" t="str">
        <f>IF(ABS(B94/F94-1)&lt;0.1,"OK","WARNING")</f>
        <v>OK</v>
      </c>
      <c r="B94" s="43">
        <f>+'Wksh 1 - Market Experience'!X38</f>
        <v>282984797.04000002</v>
      </c>
      <c r="C94" s="45"/>
      <c r="D94" s="83"/>
      <c r="E94" s="73" t="s">
        <v>84</v>
      </c>
      <c r="F94" s="344">
        <f>SUM(G94:AL94)</f>
        <v>282984485.03762764</v>
      </c>
      <c r="G94" s="345">
        <f>+G87-G91</f>
        <v>6972505.4544837922</v>
      </c>
      <c r="H94" s="345">
        <f>+H87-H91</f>
        <v>8250002.250702979</v>
      </c>
      <c r="I94" s="345">
        <f>+I87-I91</f>
        <v>29052001.390294526</v>
      </c>
      <c r="J94" s="345">
        <f>+J87-J91</f>
        <v>19424481.659746557</v>
      </c>
      <c r="K94" s="345">
        <f>+K87-K91</f>
        <v>10522621.498165142</v>
      </c>
      <c r="L94" s="345">
        <f>+L87-L91</f>
        <v>49719986.40615426</v>
      </c>
      <c r="M94" s="345">
        <f>+M87-M91</f>
        <v>44781822.173610397</v>
      </c>
      <c r="N94" s="345">
        <f>+N87-N91</f>
        <v>117072.21852478295</v>
      </c>
      <c r="O94" s="345">
        <f>+O87-O91</f>
        <v>114076.77090633092</v>
      </c>
      <c r="P94" s="345">
        <f>+P87-P91</f>
        <v>3887044.957990854</v>
      </c>
      <c r="Q94" s="345">
        <f>+Q87-Q91</f>
        <v>38563905.386236995</v>
      </c>
      <c r="R94" s="345">
        <f>+R87-R91</f>
        <v>2693869.4888844308</v>
      </c>
      <c r="S94" s="345">
        <f>+S87-S91</f>
        <v>6364960.5265862122</v>
      </c>
      <c r="T94" s="345">
        <f>+T87-T91</f>
        <v>23576992.91688633</v>
      </c>
      <c r="U94" s="345">
        <f>+U87-U91</f>
        <v>16020090.994367689</v>
      </c>
      <c r="V94" s="345">
        <f>+V87-V91</f>
        <v>461323.52209872188</v>
      </c>
      <c r="W94" s="345">
        <f>+W87-W91</f>
        <v>464557.85744993668</v>
      </c>
      <c r="X94" s="345">
        <f>+X87-X91</f>
        <v>15958364.912649548</v>
      </c>
      <c r="Y94" s="345">
        <f>+Y87-Y91</f>
        <v>462912.03618926444</v>
      </c>
      <c r="Z94" s="345">
        <f>+Z87-Z91</f>
        <v>0</v>
      </c>
      <c r="AA94" s="345">
        <f>+AA87-AA91</f>
        <v>0</v>
      </c>
      <c r="AB94" s="345">
        <f>+AB87-AB91</f>
        <v>0</v>
      </c>
      <c r="AC94" s="345">
        <f>+AC87-AC91</f>
        <v>0</v>
      </c>
      <c r="AD94" s="345">
        <f>+AD87-AD91</f>
        <v>0</v>
      </c>
      <c r="AE94" s="345">
        <f>+AE87-AE91</f>
        <v>0</v>
      </c>
      <c r="AF94" s="345">
        <f>+AF87-AF91</f>
        <v>5413930.9092061771</v>
      </c>
      <c r="AG94" s="345">
        <f>+AG87-AG91</f>
        <v>161961.70649269599</v>
      </c>
      <c r="AH94" s="345">
        <f>+AH87-AH91</f>
        <v>0</v>
      </c>
      <c r="AI94" s="345">
        <f>+AI87-AI91</f>
        <v>0</v>
      </c>
      <c r="AJ94" s="345">
        <f>+AJ87-AJ91</f>
        <v>0</v>
      </c>
      <c r="AK94" s="345">
        <f>+AK87-AK91</f>
        <v>0</v>
      </c>
      <c r="AL94" s="345">
        <f>+AL87-AL91</f>
        <v>0</v>
      </c>
      <c r="AM94" s="183"/>
    </row>
    <row r="95" spans="1:39" x14ac:dyDescent="0.25">
      <c r="B95" s="43"/>
      <c r="C95" s="45"/>
      <c r="D95" s="83"/>
      <c r="E95" s="73"/>
      <c r="F95" s="42"/>
      <c r="G95" s="39"/>
      <c r="H95" s="39"/>
      <c r="I95" s="39"/>
      <c r="J95" s="39"/>
      <c r="K95" s="39"/>
      <c r="L95" s="39"/>
      <c r="M95" s="39"/>
      <c r="N95" s="39"/>
      <c r="O95" s="39"/>
      <c r="P95" s="39"/>
      <c r="Q95" s="39"/>
      <c r="R95" s="39"/>
      <c r="S95" s="39"/>
      <c r="T95" s="39"/>
      <c r="U95" s="39"/>
      <c r="V95" s="39"/>
      <c r="W95" s="39"/>
      <c r="X95" s="39"/>
      <c r="Y95" s="39"/>
      <c r="Z95" s="39"/>
      <c r="AA95" s="39"/>
      <c r="AB95" s="39"/>
      <c r="AC95" s="39"/>
      <c r="AD95" s="39"/>
      <c r="AE95" s="39"/>
      <c r="AF95" s="39"/>
      <c r="AG95" s="39"/>
      <c r="AH95" s="39"/>
      <c r="AI95" s="39"/>
      <c r="AJ95" s="39"/>
      <c r="AK95" s="39"/>
      <c r="AL95" s="39"/>
      <c r="AM95" s="183"/>
    </row>
    <row r="96" spans="1:39" x14ac:dyDescent="0.25">
      <c r="A96" s="259" t="e">
        <f>IF(ABS(B96/F96-1)&lt;0.05,"OK","WARNING")</f>
        <v>#DIV/0!</v>
      </c>
      <c r="B96" s="43">
        <f>'Wksh 1 - Market Experience'!X37</f>
        <v>0</v>
      </c>
      <c r="C96" s="45"/>
      <c r="D96" s="83"/>
      <c r="E96" s="73" t="s">
        <v>94</v>
      </c>
      <c r="F96" s="344">
        <f>SUM(G96:AL96)</f>
        <v>0</v>
      </c>
      <c r="G96" s="346">
        <v>0</v>
      </c>
      <c r="H96" s="346">
        <v>0</v>
      </c>
      <c r="I96" s="346">
        <v>0</v>
      </c>
      <c r="J96" s="346">
        <v>0</v>
      </c>
      <c r="K96" s="346">
        <v>0</v>
      </c>
      <c r="L96" s="346">
        <v>0</v>
      </c>
      <c r="M96" s="346">
        <v>0</v>
      </c>
      <c r="N96" s="346">
        <v>0</v>
      </c>
      <c r="O96" s="346">
        <v>0</v>
      </c>
      <c r="P96" s="346">
        <v>0</v>
      </c>
      <c r="Q96" s="346">
        <v>0</v>
      </c>
      <c r="R96" s="346">
        <v>0</v>
      </c>
      <c r="S96" s="346">
        <v>0</v>
      </c>
      <c r="T96" s="346">
        <v>0</v>
      </c>
      <c r="U96" s="346">
        <v>0</v>
      </c>
      <c r="V96" s="346">
        <v>0</v>
      </c>
      <c r="W96" s="346">
        <v>0</v>
      </c>
      <c r="X96" s="346">
        <v>0</v>
      </c>
      <c r="Y96" s="346">
        <v>0</v>
      </c>
      <c r="Z96" s="346">
        <v>0</v>
      </c>
      <c r="AA96" s="346">
        <v>0</v>
      </c>
      <c r="AB96" s="346">
        <v>0</v>
      </c>
      <c r="AC96" s="346">
        <v>0</v>
      </c>
      <c r="AD96" s="346">
        <v>0</v>
      </c>
      <c r="AE96" s="346">
        <v>0</v>
      </c>
      <c r="AF96" s="346">
        <v>0</v>
      </c>
      <c r="AG96" s="346">
        <v>0</v>
      </c>
      <c r="AH96" s="346">
        <v>0</v>
      </c>
      <c r="AI96" s="346">
        <v>0</v>
      </c>
      <c r="AJ96" s="346">
        <v>0</v>
      </c>
      <c r="AK96" s="346">
        <v>0</v>
      </c>
      <c r="AL96" s="346">
        <v>0</v>
      </c>
      <c r="AM96" s="183"/>
    </row>
    <row r="97" spans="1:48" x14ac:dyDescent="0.25">
      <c r="B97" s="71"/>
      <c r="C97" s="45"/>
      <c r="D97" s="84"/>
      <c r="E97" s="73" t="s">
        <v>93</v>
      </c>
      <c r="F97" s="344">
        <f>SUM(G97:AL97)</f>
        <v>6496559.9999999972</v>
      </c>
      <c r="G97" s="346">
        <v>162252.50605034558</v>
      </c>
      <c r="H97" s="346">
        <v>148911.779831441</v>
      </c>
      <c r="I97" s="346">
        <v>676049.67283634678</v>
      </c>
      <c r="J97" s="346">
        <v>452014.10720964265</v>
      </c>
      <c r="K97" s="346">
        <v>244864.87955324765</v>
      </c>
      <c r="L97" s="346">
        <v>1157000.5140691418</v>
      </c>
      <c r="M97" s="346">
        <v>1042087.8005189248</v>
      </c>
      <c r="N97" s="346">
        <v>2113.1427482768668</v>
      </c>
      <c r="O97" s="346">
        <v>2059.075194996195</v>
      </c>
      <c r="P97" s="346">
        <v>70160.803038559825</v>
      </c>
      <c r="Q97" s="346">
        <v>897394.82211256493</v>
      </c>
      <c r="R97" s="346">
        <v>48624.095852726983</v>
      </c>
      <c r="S97" s="346">
        <v>148114.73480971242</v>
      </c>
      <c r="T97" s="346">
        <v>548644.41639641125</v>
      </c>
      <c r="U97" s="346">
        <v>372792.81141604623</v>
      </c>
      <c r="V97" s="346">
        <v>10735.150807570248</v>
      </c>
      <c r="W97" s="346">
        <v>10810.414860006997</v>
      </c>
      <c r="X97" s="346">
        <v>371356.42509654962</v>
      </c>
      <c r="Y97" s="346">
        <v>8355.5195646723678</v>
      </c>
      <c r="Z97" s="346">
        <v>0</v>
      </c>
      <c r="AA97" s="346">
        <v>0</v>
      </c>
      <c r="AB97" s="346">
        <v>0</v>
      </c>
      <c r="AC97" s="346">
        <v>0</v>
      </c>
      <c r="AD97" s="346">
        <v>0</v>
      </c>
      <c r="AE97" s="346">
        <v>0</v>
      </c>
      <c r="AF97" s="346">
        <v>118667.30862328479</v>
      </c>
      <c r="AG97" s="346">
        <v>3550.0194095274701</v>
      </c>
      <c r="AH97" s="346">
        <v>0</v>
      </c>
      <c r="AI97" s="346">
        <v>0</v>
      </c>
      <c r="AJ97" s="346">
        <v>0</v>
      </c>
      <c r="AK97" s="346">
        <v>0</v>
      </c>
      <c r="AL97" s="346">
        <v>0</v>
      </c>
    </row>
    <row r="98" spans="1:48" x14ac:dyDescent="0.25">
      <c r="B98" s="78"/>
      <c r="C98" s="45"/>
      <c r="D98" s="86"/>
      <c r="E98" s="87"/>
      <c r="F98" s="80"/>
      <c r="G98" s="34"/>
      <c r="H98" s="34"/>
      <c r="I98" s="34"/>
      <c r="J98" s="34"/>
      <c r="K98" s="34"/>
      <c r="L98" s="34"/>
      <c r="M98" s="34"/>
      <c r="N98" s="34"/>
      <c r="O98" s="34"/>
      <c r="P98" s="34"/>
      <c r="Q98" s="34"/>
      <c r="R98" s="34"/>
      <c r="S98" s="34"/>
      <c r="T98" s="34"/>
      <c r="U98" s="34"/>
      <c r="V98" s="34"/>
      <c r="W98" s="34"/>
      <c r="X98" s="34"/>
      <c r="Y98" s="34"/>
      <c r="Z98" s="34"/>
      <c r="AA98" s="34"/>
      <c r="AB98" s="34"/>
      <c r="AC98" s="34"/>
      <c r="AD98" s="34"/>
      <c r="AE98" s="34"/>
      <c r="AF98" s="34"/>
      <c r="AG98" s="34"/>
      <c r="AH98" s="34"/>
      <c r="AI98" s="34"/>
      <c r="AJ98" s="34"/>
      <c r="AK98" s="34"/>
      <c r="AL98" s="34"/>
      <c r="AM98" s="212"/>
    </row>
    <row r="99" spans="1:48" x14ac:dyDescent="0.25">
      <c r="A99" s="259" t="str">
        <f>IF(ABS(B99/F99-1)&lt;0.1,"OK","WARNING")</f>
        <v>OK</v>
      </c>
      <c r="B99" s="41">
        <f>+'Wksh 1 - Market Experience'!V38</f>
        <v>561.48</v>
      </c>
      <c r="C99" s="45"/>
      <c r="D99" s="82"/>
      <c r="E99" s="64" t="s">
        <v>87</v>
      </c>
      <c r="F99" s="272">
        <f t="shared" ref="F99" si="0">+F94/F82</f>
        <v>561.47938094521737</v>
      </c>
      <c r="G99" s="272">
        <f>+G94/G82</f>
        <v>364.32780094491545</v>
      </c>
      <c r="H99" s="272">
        <f>+H94/H82</f>
        <v>601.48747817898652</v>
      </c>
      <c r="I99" s="272">
        <f>+I94/I82</f>
        <v>518.40619172203435</v>
      </c>
      <c r="J99" s="272">
        <f>+J94/J82</f>
        <v>549.89473614954579</v>
      </c>
      <c r="K99" s="272">
        <f>+K94/K82</f>
        <v>561.29628730811021</v>
      </c>
      <c r="L99" s="272">
        <f>+L94/L82</f>
        <v>513.18559535691031</v>
      </c>
      <c r="M99" s="272">
        <f>+M94/M82</f>
        <v>535.82796498486869</v>
      </c>
      <c r="N99" s="272">
        <f>+N94/N82</f>
        <v>639.73889904252974</v>
      </c>
      <c r="O99" s="272">
        <f>+O94/O82</f>
        <v>623.37033282148036</v>
      </c>
      <c r="P99" s="272">
        <f>+P94/P82</f>
        <v>651.86063357217074</v>
      </c>
      <c r="Q99" s="272">
        <f>+Q94/Q82</f>
        <v>561.77935183749958</v>
      </c>
      <c r="R99" s="272">
        <f>+R94/R82</f>
        <v>734.0243838922155</v>
      </c>
      <c r="S99" s="272">
        <f>+S94/S82</f>
        <v>655.57323376106831</v>
      </c>
      <c r="T99" s="272">
        <f>+T94/T82</f>
        <v>632.66765729851147</v>
      </c>
      <c r="U99" s="272">
        <f>+U94/U82</f>
        <v>647.45952367811867</v>
      </c>
      <c r="V99" s="272">
        <f>+V94/V82</f>
        <v>561.22082980379787</v>
      </c>
      <c r="W99" s="272">
        <f>+W94/W82</f>
        <v>565.15554434298872</v>
      </c>
      <c r="X99" s="272">
        <f>+X94/X82</f>
        <v>869.71305862169856</v>
      </c>
      <c r="Y99" s="272">
        <f>+Y94/Y82</f>
        <v>1008.5229546607069</v>
      </c>
      <c r="Z99" s="272" t="e">
        <f>+Z94/Z82</f>
        <v>#DIV/0!</v>
      </c>
      <c r="AA99" s="272" t="e">
        <f>+AA94/AA82</f>
        <v>#DIV/0!</v>
      </c>
      <c r="AB99" s="272" t="e">
        <f>+AB94/AB82</f>
        <v>#DIV/0!</v>
      </c>
      <c r="AC99" s="272" t="e">
        <f>+AC94/AC82</f>
        <v>#DIV/0!</v>
      </c>
      <c r="AD99" s="272" t="e">
        <f>+AD94/AD82</f>
        <v>#DIV/0!</v>
      </c>
      <c r="AE99" s="272" t="e">
        <f>+AE94/AE82</f>
        <v>#DIV/0!</v>
      </c>
      <c r="AF99" s="272">
        <f>+AF94/AF82</f>
        <v>571.21026685019808</v>
      </c>
      <c r="AG99" s="272">
        <f>+AG94/AG82</f>
        <v>580.50790857597133</v>
      </c>
      <c r="AH99" s="272" t="e">
        <f>+AH94/AH82</f>
        <v>#DIV/0!</v>
      </c>
      <c r="AI99" s="272" t="e">
        <f>+AI94/AI82</f>
        <v>#DIV/0!</v>
      </c>
      <c r="AJ99" s="272" t="e">
        <f>+AJ94/AJ82</f>
        <v>#DIV/0!</v>
      </c>
      <c r="AK99" s="272" t="e">
        <f>+AK94/AK82</f>
        <v>#DIV/0!</v>
      </c>
      <c r="AL99" s="272" t="e">
        <f>+AL94/AL82</f>
        <v>#DIV/0!</v>
      </c>
      <c r="AQ99" s="213"/>
      <c r="AV99" s="213"/>
    </row>
    <row r="100" spans="1:48" x14ac:dyDescent="0.25">
      <c r="A100" s="259" t="str">
        <f>IF(ABS(B100/F100-1)&lt;0.1,"OK","WARNING")</f>
        <v>OK</v>
      </c>
      <c r="B100" s="41">
        <f>+'Wksh 1 - Market Experience'!V32</f>
        <v>762.87687607916052</v>
      </c>
      <c r="C100" s="45"/>
      <c r="D100" s="83"/>
      <c r="E100" s="64" t="s">
        <v>8</v>
      </c>
      <c r="F100" s="272">
        <f t="shared" ref="F100" si="1">+F87/F82</f>
        <v>762.88643845498063</v>
      </c>
      <c r="G100" s="272">
        <f>+G87/G82</f>
        <v>532.80118259620554</v>
      </c>
      <c r="H100" s="272">
        <f>+H87/H82</f>
        <v>862.60618621887954</v>
      </c>
      <c r="I100" s="272">
        <f>+I87/I82</f>
        <v>747.2698684534613</v>
      </c>
      <c r="J100" s="272">
        <f>+J87/J82</f>
        <v>761.40562006636674</v>
      </c>
      <c r="K100" s="272">
        <f>+K87/K82</f>
        <v>756.80188122010668</v>
      </c>
      <c r="L100" s="272">
        <f>+L87/L82</f>
        <v>746.53354659383388</v>
      </c>
      <c r="M100" s="272">
        <f>+M87/M82</f>
        <v>752.34258872417024</v>
      </c>
      <c r="N100" s="272">
        <f>+N87/N82</f>
        <v>881.28821212930268</v>
      </c>
      <c r="O100" s="272">
        <f>+O87/O82</f>
        <v>870.79331810674387</v>
      </c>
      <c r="P100" s="272">
        <f>+P87/P82</f>
        <v>864.33996942302747</v>
      </c>
      <c r="Q100" s="272">
        <f>+Q87/Q82</f>
        <v>748.7156789012638</v>
      </c>
      <c r="R100" s="272">
        <f>+R87/R82</f>
        <v>906.4676216539234</v>
      </c>
      <c r="S100" s="272">
        <f>+S87/S82</f>
        <v>800.62181022777395</v>
      </c>
      <c r="T100" s="272">
        <f>+T87/T82</f>
        <v>785.30571019974673</v>
      </c>
      <c r="U100" s="272">
        <f>+U87/U82</f>
        <v>788.29310121424749</v>
      </c>
      <c r="V100" s="272">
        <f>+V87/V82</f>
        <v>748.56503311971994</v>
      </c>
      <c r="W100" s="272">
        <f>+W87/W82</f>
        <v>757.1497593378059</v>
      </c>
      <c r="X100" s="272">
        <f>+X87/X82</f>
        <v>986.86308195745789</v>
      </c>
      <c r="Y100" s="272">
        <f>+Y87/Y82</f>
        <v>1138.5323784735535</v>
      </c>
      <c r="Z100" s="272" t="e">
        <f>+Z87/Z82</f>
        <v>#DIV/0!</v>
      </c>
      <c r="AA100" s="272" t="e">
        <f>+AA87/AA82</f>
        <v>#DIV/0!</v>
      </c>
      <c r="AB100" s="272" t="e">
        <f>+AB87/AB82</f>
        <v>#DIV/0!</v>
      </c>
      <c r="AC100" s="272" t="e">
        <f>+AC87/AC82</f>
        <v>#DIV/0!</v>
      </c>
      <c r="AD100" s="272" t="e">
        <f>+AD87/AD82</f>
        <v>#DIV/0!</v>
      </c>
      <c r="AE100" s="272" t="e">
        <f>+AE87/AE82</f>
        <v>#DIV/0!</v>
      </c>
      <c r="AF100" s="272">
        <f>+AF87/AF82</f>
        <v>787.82122606175119</v>
      </c>
      <c r="AG100" s="272">
        <f>+AG87/AG82</f>
        <v>797.48585002376819</v>
      </c>
      <c r="AH100" s="272" t="e">
        <f>+AH87/AH82</f>
        <v>#DIV/0!</v>
      </c>
      <c r="AI100" s="272" t="e">
        <f>+AI87/AI82</f>
        <v>#DIV/0!</v>
      </c>
      <c r="AJ100" s="272" t="e">
        <f>+AJ87/AJ82</f>
        <v>#DIV/0!</v>
      </c>
      <c r="AK100" s="272" t="e">
        <f>+AK87/AK82</f>
        <v>#DIV/0!</v>
      </c>
      <c r="AL100" s="272" t="e">
        <f>+AL87/AL82</f>
        <v>#DIV/0!</v>
      </c>
      <c r="AQ100" s="213"/>
      <c r="AV100" s="213"/>
    </row>
    <row r="101" spans="1:48" x14ac:dyDescent="0.25">
      <c r="B101" s="71"/>
      <c r="C101" s="45"/>
      <c r="D101" s="84"/>
      <c r="E101" s="38" t="s">
        <v>88</v>
      </c>
      <c r="F101" s="272">
        <f t="shared" ref="F101" si="2">+F100*F88</f>
        <v>762.88643845498063</v>
      </c>
      <c r="G101" s="272">
        <f>+G100*G88</f>
        <v>532.80118259620554</v>
      </c>
      <c r="H101" s="272">
        <f>+H100*H88</f>
        <v>862.60618621887954</v>
      </c>
      <c r="I101" s="272">
        <f>+I100*I88</f>
        <v>747.2698684534613</v>
      </c>
      <c r="J101" s="272">
        <f>+J100*J88</f>
        <v>761.40562006636674</v>
      </c>
      <c r="K101" s="272">
        <f>+K100*K88</f>
        <v>756.80188122010668</v>
      </c>
      <c r="L101" s="272">
        <f>+L100*L88</f>
        <v>746.53354659383388</v>
      </c>
      <c r="M101" s="272">
        <f>+M100*M88</f>
        <v>752.34258872417024</v>
      </c>
      <c r="N101" s="272">
        <f>+N100*N88</f>
        <v>881.28821212930268</v>
      </c>
      <c r="O101" s="272">
        <f>+O100*O88</f>
        <v>870.79331810674387</v>
      </c>
      <c r="P101" s="272">
        <f>+P100*P88</f>
        <v>864.33996942302747</v>
      </c>
      <c r="Q101" s="272">
        <f>+Q100*Q88</f>
        <v>748.7156789012638</v>
      </c>
      <c r="R101" s="272">
        <f>+R100*R88</f>
        <v>906.4676216539234</v>
      </c>
      <c r="S101" s="272">
        <f>+S100*S88</f>
        <v>800.62181022777395</v>
      </c>
      <c r="T101" s="272">
        <f>+T100*T88</f>
        <v>785.30571019974673</v>
      </c>
      <c r="U101" s="272">
        <f>+U100*U88</f>
        <v>788.29310121424749</v>
      </c>
      <c r="V101" s="272">
        <f>+V100*V88</f>
        <v>748.56503311971994</v>
      </c>
      <c r="W101" s="272">
        <f>+W100*W88</f>
        <v>757.1497593378059</v>
      </c>
      <c r="X101" s="272">
        <f>+X100*X88</f>
        <v>986.86308195745789</v>
      </c>
      <c r="Y101" s="272">
        <f>+Y100*Y88</f>
        <v>1138.5323784735535</v>
      </c>
      <c r="Z101" s="272" t="e">
        <f>+Z100*Z88</f>
        <v>#DIV/0!</v>
      </c>
      <c r="AA101" s="272" t="e">
        <f>+AA100*AA88</f>
        <v>#DIV/0!</v>
      </c>
      <c r="AB101" s="272" t="e">
        <f>+AB100*AB88</f>
        <v>#DIV/0!</v>
      </c>
      <c r="AC101" s="272" t="e">
        <f>+AC100*AC88</f>
        <v>#DIV/0!</v>
      </c>
      <c r="AD101" s="272" t="e">
        <f>+AD100*AD88</f>
        <v>#DIV/0!</v>
      </c>
      <c r="AE101" s="272" t="e">
        <f>+AE100*AE88</f>
        <v>#DIV/0!</v>
      </c>
      <c r="AF101" s="272">
        <f>+AF100*AF88</f>
        <v>787.82122606175119</v>
      </c>
      <c r="AG101" s="272">
        <f>+AG100*AG88</f>
        <v>797.48585002376819</v>
      </c>
      <c r="AH101" s="272" t="e">
        <f>+AH100*AH88</f>
        <v>#DIV/0!</v>
      </c>
      <c r="AI101" s="272" t="e">
        <f>+AI100*AI88</f>
        <v>#DIV/0!</v>
      </c>
      <c r="AJ101" s="272" t="e">
        <f>+AJ100*AJ88</f>
        <v>#DIV/0!</v>
      </c>
      <c r="AK101" s="272" t="e">
        <f>+AK100*AK88</f>
        <v>#DIV/0!</v>
      </c>
      <c r="AL101" s="272" t="e">
        <f>+AL100*AL88</f>
        <v>#DIV/0!</v>
      </c>
      <c r="AQ101" s="213"/>
      <c r="AV101" s="213"/>
    </row>
    <row r="102" spans="1:48" x14ac:dyDescent="0.25">
      <c r="H102" s="211"/>
      <c r="I102" s="58"/>
    </row>
    <row r="103" spans="1:48" x14ac:dyDescent="0.25">
      <c r="H103" s="211"/>
      <c r="I103" s="58"/>
    </row>
    <row r="105" spans="1:48" x14ac:dyDescent="0.25">
      <c r="I105" s="212"/>
    </row>
    <row r="106" spans="1:48" x14ac:dyDescent="0.25">
      <c r="I106" s="213"/>
      <c r="J106" s="213"/>
    </row>
  </sheetData>
  <sheetProtection algorithmName="SHA-512" hashValue="IAfSViQ6st1EovXaCi9xK8xrGi3zQWLgw4IidKtfiKgRIZrtCA55FUtwqjhBi5eOxE+zMACeeYA5yJ/2T09TWw==" saltValue="2qn4R6bpTHq+ZkKFO9UR3Q==" spinCount="100000" sheet="1"/>
  <mergeCells count="23">
    <mergeCell ref="AF29:AJ29"/>
    <mergeCell ref="AK12:AL12"/>
    <mergeCell ref="AK13:AL13"/>
    <mergeCell ref="AK22:AL22"/>
    <mergeCell ref="AK23:AL23"/>
    <mergeCell ref="AK24:AL24"/>
    <mergeCell ref="AK29:AL29"/>
    <mergeCell ref="AF12:AJ12"/>
    <mergeCell ref="AF13:AJ13"/>
    <mergeCell ref="AF22:AJ22"/>
    <mergeCell ref="AF23:AJ23"/>
    <mergeCell ref="AF24:AJ24"/>
    <mergeCell ref="D61:D68"/>
    <mergeCell ref="D81:D86"/>
    <mergeCell ref="D87:D92"/>
    <mergeCell ref="H5:J5"/>
    <mergeCell ref="D55:D60"/>
    <mergeCell ref="G12:AE12"/>
    <mergeCell ref="G13:AE13"/>
    <mergeCell ref="G22:AE22"/>
    <mergeCell ref="G23:AE23"/>
    <mergeCell ref="G24:AE24"/>
    <mergeCell ref="G29:AE29"/>
  </mergeCells>
  <dataValidations count="52">
    <dataValidation operator="greaterThanOrEqual" allowBlank="1" showInputMessage="1" showErrorMessage="1" errorTitle="Value not valid" error="Enter a dollar value greater than or equal to 0." prompt="Enter the Net amount of Risk Adj. as a dollar value." sqref="G97:AL97 G71:AL71"/>
    <dataValidation operator="greaterThanOrEqual" allowBlank="1" showInputMessage="1" showErrorMessage="1" errorTitle="Value not valid" error="Enter a dollar value greater than or equal to 0." prompt="Enter the Net amount of Rein as a dollar value." sqref="G70:AL70"/>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AL83">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AL57">
      <formula1>0</formula1>
    </dataValidation>
    <dataValidation type="list" operator="greaterThan" allowBlank="1" showInputMessage="1" showErrorMessage="1" errorTitle="Value not valid" error="Select a value from the list." promptTitle="Required:" prompt="Select the plan category for the designated plan." sqref="G17:AL17">
      <formula1>CategoryList</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AL65">
      <formula1>ISNUMBER(G$65)</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AL81">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AL88">
      <formula1>0</formula1>
    </dataValidation>
    <dataValidation type="decimal" operator="greaterThanOrEqual" allowBlank="1" showInputMessage="1" showErrorMessage="1" errorTitle="Value not valid" error="Enter a dollar value greater than or equal to 0." prompt="Enter a dollar value greater than or equal to 0." sqref="G66:AL66">
      <formula1>0</formula1>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AL59">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AL58">
      <formula1>0</formula1>
      <formula2>1</formula2>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AL96"/>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AL92">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AL91">
      <formula1>ISNUMBER(G$91)</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89:AL89 G62:AL63">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87:AL87 G61:AL61">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AL85">
      <formula1>0</formula1>
      <formula2>1</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AL84">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AL27">
      <formula1>-999</formula1>
      <formula2>2000</formula2>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AL56">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AL55">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AL48">
      <formula1>0</formula1>
    </dataValidation>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AL47">
      <formula1>0</formula1>
    </dataValidation>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AL44"/>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AL41"/>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AL40"/>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AL39"/>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AL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AL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AL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AL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AL34"/>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AL42"/>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AL26">
      <formula1>-999</formula1>
      <formula2>2000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AL20">
      <formula1>14</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AL19">
      <formula1>1</formula1>
      <formula2>100</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AL16">
      <formula1>0</formula1>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AL15">
      <formula1>0</formula1>
      <formula2>1</formula2>
    </dataValidation>
    <dataValidation type="date" operator="greaterThan" allowBlank="1" showInputMessage="1" showErrorMessage="1" errorTitle="Value not valid." error="Effective Date is a required field." promptTitle="Required:" prompt="Enter the effective date of the proposed rate change being submitted." sqref="G25:AL25">
      <formula1>40179</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AL21">
      <formula1>"Yes,No"</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AL18">
      <formula1>"HMO, PPO, Indemnity, EPO, POS"</formula1>
    </dataValidation>
    <dataValidation type="list" allowBlank="1" showInputMessage="1" showErrorMessage="1" errorTitle="Value not valid" error="Select a value from the list." promptTitle="Required:" prompt="Select the metal level for the designated plan." sqref="G14:AL14">
      <formula1>"Platinum, Gold, Silver, Bronze, Catastrophic, Not Applicable"</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AJ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AJ13">
      <formula1>10</formula1>
      <formula2>10</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AJ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AJ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AJ24">
      <formula1>-1</formula1>
      <formula2>1</formula2>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AK12:AL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AK13:AL13">
      <formula1>10</formula1>
      <formula2>10</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AK22:AL22">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AK23:AL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AK24:AL24">
      <formula1>-1</formula1>
      <formula2>1</formula2>
    </dataValidation>
  </dataValidations>
  <pageMargins left="0.7" right="0.7" top="0.75" bottom="0.75" header="0.3" footer="0.3"/>
  <pageSetup scale="41"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5</xdr:col>
                    <xdr:colOff>0</xdr:colOff>
                    <xdr:row>0</xdr:row>
                    <xdr:rowOff>0</xdr:rowOff>
                  </from>
                  <to>
                    <xdr:col>6</xdr:col>
                    <xdr:colOff>66675</xdr:colOff>
                    <xdr:row>1</xdr:row>
                    <xdr:rowOff>19050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190500</xdr:colOff>
                    <xdr:row>0</xdr:row>
                    <xdr:rowOff>0</xdr:rowOff>
                  </from>
                  <to>
                    <xdr:col>8</xdr:col>
                    <xdr:colOff>180975</xdr:colOff>
                    <xdr:row>1</xdr:row>
                    <xdr:rowOff>28575</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247650</xdr:colOff>
                    <xdr:row>0</xdr:row>
                    <xdr:rowOff>0</xdr:rowOff>
                  </from>
                  <to>
                    <xdr:col>9</xdr:col>
                    <xdr:colOff>238125</xdr:colOff>
                    <xdr:row>1</xdr:row>
                    <xdr:rowOff>28575</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133350</xdr:colOff>
                    <xdr:row>0</xdr:row>
                    <xdr:rowOff>0</xdr:rowOff>
                  </from>
                  <to>
                    <xdr:col>7</xdr:col>
                    <xdr:colOff>123825</xdr:colOff>
                    <xdr:row>1</xdr:row>
                    <xdr:rowOff>19050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9</xdr:col>
                    <xdr:colOff>171450</xdr:colOff>
                    <xdr:row>0</xdr:row>
                    <xdr:rowOff>0</xdr:rowOff>
                  </from>
                  <to>
                    <xdr:col>10</xdr:col>
                    <xdr:colOff>133350</xdr:colOff>
                    <xdr:row>1</xdr:row>
                    <xdr:rowOff>19050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9</xdr:col>
                    <xdr:colOff>171450</xdr:colOff>
                    <xdr:row>3</xdr:row>
                    <xdr:rowOff>0</xdr:rowOff>
                  </from>
                  <to>
                    <xdr:col>10</xdr:col>
                    <xdr:colOff>133350</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Z121"/>
  <sheetViews>
    <sheetView showGridLines="0" topLeftCell="A25" zoomScaleNormal="100" workbookViewId="0">
      <selection activeCell="I81" sqref="I81"/>
    </sheetView>
  </sheetViews>
  <sheetFormatPr defaultRowHeight="15" x14ac:dyDescent="0.25"/>
  <cols>
    <col min="1" max="1" width="13.42578125" bestFit="1" customWidth="1"/>
    <col min="2" max="2" width="12.85546875" bestFit="1" customWidth="1"/>
    <col min="3" max="3" width="4" customWidth="1"/>
    <col min="4" max="4" width="2.7109375" customWidth="1"/>
    <col min="5" max="5" width="43.85546875" customWidth="1"/>
    <col min="6" max="6" width="14.5703125" customWidth="1"/>
    <col min="7" max="7" width="15" customWidth="1"/>
    <col min="8" max="8" width="12.140625" customWidth="1"/>
    <col min="9" max="9" width="14.85546875" bestFit="1" customWidth="1"/>
    <col min="10" max="10" width="14.28515625" bestFit="1" customWidth="1"/>
    <col min="11" max="11" width="13.5703125" customWidth="1"/>
    <col min="12" max="12" width="12.5703125" customWidth="1"/>
    <col min="13" max="13" width="13.5703125" customWidth="1"/>
    <col min="14" max="14" width="14.28515625" bestFit="1" customWidth="1"/>
    <col min="15" max="15" width="14.28515625" customWidth="1"/>
    <col min="16" max="16" width="13.140625" customWidth="1"/>
    <col min="17" max="17" width="13.28515625" bestFit="1" customWidth="1"/>
    <col min="18" max="18" width="11.5703125" bestFit="1" customWidth="1"/>
    <col min="19" max="19" width="13.28515625" bestFit="1" customWidth="1"/>
    <col min="20" max="20" width="11.5703125" bestFit="1" customWidth="1"/>
    <col min="21" max="21" width="11.5703125" customWidth="1"/>
    <col min="22" max="22" width="11.5703125" bestFit="1" customWidth="1"/>
    <col min="23" max="24" width="13.28515625" bestFit="1" customWidth="1"/>
    <col min="25" max="25" width="13.85546875" customWidth="1"/>
    <col min="26" max="26" width="15.28515625" customWidth="1"/>
    <col min="27" max="27" width="13.85546875" customWidth="1"/>
  </cols>
  <sheetData>
    <row r="1" spans="1:26" ht="18.75" x14ac:dyDescent="0.3">
      <c r="E1" s="20" t="s">
        <v>24</v>
      </c>
      <c r="F1" s="20"/>
      <c r="G1" s="3"/>
      <c r="H1" s="3"/>
      <c r="I1" s="3"/>
      <c r="J1" s="3"/>
      <c r="K1" s="4"/>
      <c r="L1" s="1"/>
      <c r="M1" s="1"/>
      <c r="N1" s="1"/>
      <c r="O1" s="1"/>
      <c r="P1" s="1"/>
      <c r="Q1" s="1"/>
      <c r="R1" s="1"/>
      <c r="S1" s="1"/>
      <c r="T1" s="1"/>
      <c r="U1" s="1"/>
      <c r="V1" s="1"/>
      <c r="W1" s="1"/>
      <c r="X1" s="1"/>
    </row>
    <row r="2" spans="1:26" ht="18.75" x14ac:dyDescent="0.3">
      <c r="E2" s="3"/>
      <c r="F2" s="3"/>
      <c r="G2" s="3"/>
      <c r="H2" s="3"/>
      <c r="I2" s="3"/>
      <c r="J2" s="3"/>
      <c r="K2" s="4"/>
      <c r="L2" s="1"/>
      <c r="M2" s="1"/>
      <c r="N2" s="1"/>
      <c r="O2" s="1"/>
      <c r="P2" s="1"/>
      <c r="Q2" s="1"/>
      <c r="R2" s="1"/>
      <c r="S2" s="1"/>
      <c r="T2" s="1"/>
      <c r="U2" s="1"/>
      <c r="V2" s="1"/>
      <c r="W2" s="1"/>
      <c r="X2" s="1"/>
    </row>
    <row r="3" spans="1:26" ht="18.75" x14ac:dyDescent="0.3">
      <c r="E3" s="10" t="s">
        <v>9</v>
      </c>
      <c r="F3" s="10"/>
      <c r="G3" s="3"/>
      <c r="H3" s="3"/>
      <c r="I3" s="30" t="str">
        <f>'Wksh 1 - Market Experience'!E3</f>
        <v>HMO Colorado, Inc.</v>
      </c>
      <c r="J3" s="30"/>
      <c r="K3" s="31"/>
      <c r="L3" s="31"/>
      <c r="M3" s="31"/>
      <c r="N3" s="1"/>
      <c r="O3" s="1"/>
      <c r="P3" s="10" t="s">
        <v>15</v>
      </c>
      <c r="Q3" s="29" t="str">
        <f>'Wksh 1 - Market Experience'!H3</f>
        <v>CO</v>
      </c>
      <c r="R3" s="1"/>
      <c r="S3" s="1"/>
      <c r="T3" s="1"/>
      <c r="U3" s="1"/>
      <c r="V3" s="1"/>
      <c r="W3" s="1"/>
      <c r="X3" s="1"/>
    </row>
    <row r="4" spans="1:26" ht="18.75" x14ac:dyDescent="0.3">
      <c r="E4" s="11" t="s">
        <v>10</v>
      </c>
      <c r="F4" s="11"/>
      <c r="G4" s="3"/>
      <c r="H4" s="3"/>
      <c r="I4" s="218">
        <f>'Wksh 1 - Market Experience'!E4</f>
        <v>76680</v>
      </c>
      <c r="J4" s="30"/>
      <c r="K4" s="31"/>
      <c r="L4" s="31"/>
      <c r="M4" s="24"/>
      <c r="N4" s="1"/>
      <c r="O4" s="1"/>
      <c r="P4" s="10" t="s">
        <v>17</v>
      </c>
      <c r="Q4" s="3" t="str">
        <f>'Wksh 1 - Market Experience'!H4</f>
        <v>Individual</v>
      </c>
      <c r="R4" s="1"/>
      <c r="S4" s="1"/>
      <c r="T4" s="1"/>
      <c r="U4" s="1"/>
      <c r="V4" s="1"/>
      <c r="W4" s="1"/>
      <c r="X4" s="1"/>
    </row>
    <row r="5" spans="1:26" ht="18.75" x14ac:dyDescent="0.3">
      <c r="E5" s="10" t="s">
        <v>25</v>
      </c>
      <c r="F5" s="10"/>
      <c r="G5" s="3"/>
      <c r="H5" s="3"/>
      <c r="I5" s="383">
        <f>'Wksh 1 - Market Experience'!E5</f>
        <v>43101</v>
      </c>
      <c r="J5" s="383"/>
      <c r="K5" s="384"/>
      <c r="L5" s="1"/>
      <c r="M5" s="1"/>
      <c r="N5" s="1"/>
      <c r="O5" s="1"/>
      <c r="P5" s="1"/>
      <c r="Q5" s="1"/>
      <c r="R5" s="1"/>
      <c r="S5" s="1"/>
      <c r="T5" s="1"/>
      <c r="U5" s="1"/>
      <c r="V5" s="1"/>
      <c r="W5" s="1"/>
      <c r="X5" s="1"/>
    </row>
    <row r="6" spans="1:26" x14ac:dyDescent="0.25">
      <c r="E6" s="1"/>
      <c r="F6" s="1"/>
      <c r="G6" s="1"/>
      <c r="H6" s="1"/>
      <c r="I6" s="1"/>
      <c r="J6" s="1"/>
      <c r="K6" s="2"/>
      <c r="L6" s="1"/>
      <c r="M6" s="1"/>
      <c r="N6" s="1"/>
      <c r="O6" s="1"/>
      <c r="P6" s="1"/>
      <c r="Q6" s="1"/>
      <c r="R6" s="1"/>
      <c r="S6" s="1"/>
      <c r="T6" s="1"/>
      <c r="U6" s="1"/>
      <c r="V6" s="1"/>
      <c r="W6" s="1"/>
      <c r="X6" s="1"/>
    </row>
    <row r="7" spans="1:26" x14ac:dyDescent="0.25">
      <c r="E7" s="1"/>
      <c r="F7" s="1"/>
      <c r="G7" s="1"/>
      <c r="H7" s="1"/>
      <c r="I7" s="1"/>
      <c r="J7" s="1"/>
      <c r="K7" s="2"/>
      <c r="L7" s="1"/>
      <c r="M7" s="1"/>
      <c r="N7" s="1"/>
      <c r="O7" s="1"/>
      <c r="P7" s="1"/>
      <c r="Q7" s="1"/>
      <c r="R7" s="1"/>
      <c r="S7" s="1"/>
      <c r="T7" s="1"/>
      <c r="U7" s="1"/>
      <c r="V7" s="1"/>
      <c r="W7" s="1"/>
      <c r="X7" s="1"/>
    </row>
    <row r="8" spans="1:26" x14ac:dyDescent="0.25">
      <c r="E8" s="19" t="s">
        <v>26</v>
      </c>
      <c r="F8" s="36"/>
      <c r="G8" s="12"/>
      <c r="H8" s="12"/>
      <c r="I8" s="12"/>
      <c r="J8" s="12"/>
      <c r="K8" s="13"/>
      <c r="L8" s="12"/>
      <c r="M8" s="12"/>
      <c r="N8" s="12"/>
      <c r="O8" s="12"/>
      <c r="P8" s="12"/>
      <c r="Q8" s="12"/>
      <c r="R8" s="12"/>
      <c r="S8" s="12"/>
      <c r="T8" s="12"/>
      <c r="U8" s="12"/>
      <c r="V8" s="12"/>
      <c r="W8" s="12"/>
      <c r="X8" s="12"/>
      <c r="Y8" s="14"/>
    </row>
    <row r="9" spans="1:26" x14ac:dyDescent="0.25">
      <c r="E9" s="15"/>
      <c r="F9" s="16"/>
      <c r="G9" s="16"/>
      <c r="H9" s="16"/>
      <c r="I9" s="16"/>
      <c r="J9" s="16"/>
      <c r="K9" s="17"/>
      <c r="L9" s="16"/>
      <c r="M9" s="16"/>
      <c r="N9" s="16"/>
      <c r="O9" s="16"/>
      <c r="P9" s="16"/>
      <c r="Q9" s="16"/>
      <c r="R9" s="16"/>
      <c r="S9" s="16"/>
      <c r="T9" s="16"/>
      <c r="U9" s="16"/>
      <c r="V9" s="16"/>
      <c r="W9" s="16"/>
      <c r="X9" s="16"/>
      <c r="Y9" s="18"/>
    </row>
    <row r="10" spans="1:26" x14ac:dyDescent="0.25">
      <c r="E10" s="5"/>
      <c r="F10" s="5"/>
      <c r="G10" s="5"/>
      <c r="H10" s="5"/>
      <c r="I10" s="5"/>
      <c r="J10" s="5"/>
      <c r="K10" s="8"/>
      <c r="L10" s="5"/>
      <c r="M10" s="5"/>
      <c r="N10" s="5"/>
      <c r="O10" s="5"/>
      <c r="P10" s="5"/>
      <c r="Q10" s="5"/>
      <c r="R10" s="5"/>
      <c r="S10" s="5"/>
      <c r="T10" s="5"/>
      <c r="U10" s="5"/>
      <c r="V10" s="5"/>
      <c r="W10" s="5"/>
      <c r="X10" s="5"/>
      <c r="Y10" s="5"/>
      <c r="Z10" s="7"/>
    </row>
    <row r="11" spans="1:26" x14ac:dyDescent="0.25">
      <c r="E11" s="27" t="s">
        <v>40</v>
      </c>
      <c r="F11" s="27"/>
      <c r="G11" s="25"/>
      <c r="H11" s="25"/>
      <c r="I11" s="25"/>
      <c r="J11" s="25"/>
      <c r="K11" s="26"/>
      <c r="L11" s="25"/>
      <c r="M11" s="25"/>
      <c r="N11" s="25"/>
      <c r="O11" s="25"/>
      <c r="P11" s="25"/>
      <c r="Q11" s="25"/>
      <c r="R11" s="25"/>
      <c r="S11" s="25"/>
      <c r="T11" s="25"/>
      <c r="U11" s="25"/>
      <c r="V11" s="25"/>
      <c r="W11" s="25"/>
      <c r="X11" s="21"/>
    </row>
    <row r="12" spans="1:26" x14ac:dyDescent="0.25">
      <c r="A12" s="277"/>
      <c r="B12" s="290"/>
      <c r="C12" s="290"/>
      <c r="D12" s="290"/>
      <c r="E12" s="291" t="s">
        <v>2</v>
      </c>
      <c r="F12" s="292"/>
      <c r="G12" s="339"/>
      <c r="J12" s="277" t="s">
        <v>161</v>
      </c>
      <c r="K12" s="247" t="s">
        <v>162</v>
      </c>
      <c r="L12" s="247" t="s">
        <v>162</v>
      </c>
      <c r="M12" s="247" t="s">
        <v>159</v>
      </c>
      <c r="N12" s="215" t="s">
        <v>107</v>
      </c>
      <c r="O12" s="247" t="s">
        <v>191</v>
      </c>
    </row>
    <row r="13" spans="1:26" x14ac:dyDescent="0.25">
      <c r="A13" s="277"/>
      <c r="B13" s="290"/>
      <c r="C13" s="290"/>
      <c r="D13" s="290"/>
      <c r="E13" s="291" t="s">
        <v>27</v>
      </c>
      <c r="F13" s="296"/>
      <c r="G13" s="340"/>
      <c r="J13" s="277" t="s">
        <v>162</v>
      </c>
      <c r="K13" s="247" t="s">
        <v>163</v>
      </c>
      <c r="L13" s="247" t="s">
        <v>163</v>
      </c>
      <c r="M13" s="247" t="s">
        <v>160</v>
      </c>
      <c r="N13" s="215" t="s">
        <v>108</v>
      </c>
      <c r="O13" s="247" t="s">
        <v>192</v>
      </c>
    </row>
    <row r="14" spans="1:26" x14ac:dyDescent="0.25">
      <c r="A14" s="277"/>
      <c r="B14" s="290"/>
      <c r="C14" s="290"/>
      <c r="D14" s="290"/>
      <c r="E14" s="291" t="s">
        <v>11</v>
      </c>
      <c r="F14" s="292"/>
      <c r="G14" s="44"/>
      <c r="J14" s="277" t="s">
        <v>163</v>
      </c>
      <c r="K14" s="247" t="s">
        <v>164</v>
      </c>
      <c r="L14" s="247" t="s">
        <v>32</v>
      </c>
      <c r="M14" s="247" t="s">
        <v>162</v>
      </c>
      <c r="N14" s="215" t="s">
        <v>109</v>
      </c>
      <c r="O14" s="247" t="s">
        <v>193</v>
      </c>
    </row>
    <row r="15" spans="1:26" x14ac:dyDescent="0.25">
      <c r="A15" s="277"/>
      <c r="B15" s="290"/>
      <c r="C15" s="290"/>
      <c r="D15" s="290"/>
      <c r="E15" s="291" t="s">
        <v>106</v>
      </c>
      <c r="F15" s="293"/>
      <c r="G15" s="333"/>
      <c r="J15" s="277" t="s">
        <v>32</v>
      </c>
      <c r="K15" s="247" t="s">
        <v>32</v>
      </c>
      <c r="M15" s="247" t="s">
        <v>163</v>
      </c>
      <c r="N15" s="215" t="s">
        <v>110</v>
      </c>
      <c r="O15" s="277"/>
    </row>
    <row r="16" spans="1:26" x14ac:dyDescent="0.25">
      <c r="A16" s="277"/>
      <c r="B16" s="290"/>
      <c r="C16" s="290"/>
      <c r="D16" s="290"/>
      <c r="E16" s="291" t="s">
        <v>105</v>
      </c>
      <c r="F16" s="293"/>
      <c r="G16" s="333"/>
      <c r="M16" s="247" t="s">
        <v>32</v>
      </c>
      <c r="N16" s="215" t="s">
        <v>111</v>
      </c>
      <c r="O16" s="277"/>
    </row>
    <row r="17" spans="1:15" s="277" customFormat="1" x14ac:dyDescent="0.25">
      <c r="B17" s="290"/>
      <c r="C17" s="290"/>
      <c r="D17" s="290"/>
      <c r="E17" s="291" t="s">
        <v>190</v>
      </c>
      <c r="F17" s="293"/>
      <c r="G17" s="333"/>
      <c r="M17" s="247"/>
      <c r="N17" s="215" t="s">
        <v>112</v>
      </c>
    </row>
    <row r="18" spans="1:15" x14ac:dyDescent="0.25">
      <c r="A18" s="277"/>
      <c r="B18" s="290"/>
      <c r="C18" s="290"/>
      <c r="D18" s="290"/>
      <c r="E18" s="291" t="s">
        <v>13</v>
      </c>
      <c r="F18" s="293"/>
      <c r="G18" s="288"/>
      <c r="N18" s="215" t="s">
        <v>113</v>
      </c>
      <c r="O18" s="277"/>
    </row>
    <row r="19" spans="1:15" x14ac:dyDescent="0.25">
      <c r="A19" s="277"/>
      <c r="B19" s="290"/>
      <c r="C19" s="290"/>
      <c r="D19" s="290"/>
      <c r="E19" s="294" t="s">
        <v>18</v>
      </c>
      <c r="F19" s="295"/>
      <c r="G19" s="288"/>
      <c r="N19" s="215" t="s">
        <v>114</v>
      </c>
      <c r="O19" s="277"/>
    </row>
    <row r="20" spans="1:15" x14ac:dyDescent="0.25">
      <c r="A20" s="277"/>
      <c r="B20" s="290"/>
      <c r="C20" s="290"/>
      <c r="D20" s="290"/>
      <c r="E20" s="291" t="s">
        <v>12</v>
      </c>
      <c r="F20" s="291"/>
      <c r="G20" s="362"/>
      <c r="N20" s="216" t="s">
        <v>115</v>
      </c>
      <c r="O20" s="277"/>
    </row>
    <row r="21" spans="1:15" x14ac:dyDescent="0.25">
      <c r="A21" s="277"/>
      <c r="B21" s="290"/>
      <c r="C21" s="290"/>
      <c r="D21" s="290"/>
      <c r="E21" s="291" t="s">
        <v>28</v>
      </c>
      <c r="F21" s="296"/>
      <c r="G21" s="289"/>
      <c r="N21" s="215" t="s">
        <v>116</v>
      </c>
      <c r="O21" s="277"/>
    </row>
    <row r="22" spans="1:15" x14ac:dyDescent="0.25">
      <c r="A22" s="277"/>
      <c r="B22" s="290"/>
      <c r="C22" s="290"/>
      <c r="D22" s="290"/>
      <c r="E22" s="278" t="s">
        <v>176</v>
      </c>
      <c r="F22" s="296"/>
      <c r="G22" s="361"/>
      <c r="N22" s="215" t="s">
        <v>117</v>
      </c>
      <c r="O22" s="277"/>
    </row>
    <row r="23" spans="1:15" x14ac:dyDescent="0.25">
      <c r="A23" s="277"/>
      <c r="B23" s="290"/>
      <c r="C23" s="290"/>
      <c r="D23" s="290"/>
      <c r="E23" s="278" t="s">
        <v>177</v>
      </c>
      <c r="F23" s="296"/>
      <c r="G23" s="361"/>
      <c r="N23" s="215" t="s">
        <v>118</v>
      </c>
      <c r="O23" s="277"/>
    </row>
    <row r="24" spans="1:15" x14ac:dyDescent="0.25">
      <c r="A24" s="277"/>
      <c r="B24" s="290"/>
      <c r="C24" s="290"/>
      <c r="D24" s="290"/>
      <c r="E24" s="278" t="s">
        <v>175</v>
      </c>
      <c r="F24" s="296"/>
      <c r="G24" s="361"/>
      <c r="N24" s="215" t="s">
        <v>119</v>
      </c>
      <c r="O24" s="277"/>
    </row>
    <row r="25" spans="1:15" x14ac:dyDescent="0.25">
      <c r="A25" s="277"/>
      <c r="B25" s="290"/>
      <c r="C25" s="290"/>
      <c r="D25" s="290"/>
      <c r="E25" s="291" t="s">
        <v>91</v>
      </c>
      <c r="F25" s="296"/>
      <c r="G25" s="330"/>
      <c r="N25" s="215" t="s">
        <v>120</v>
      </c>
      <c r="O25" s="277"/>
    </row>
    <row r="26" spans="1:15" x14ac:dyDescent="0.25">
      <c r="A26" s="277"/>
      <c r="B26" s="290"/>
      <c r="C26" s="290"/>
      <c r="D26" s="290"/>
      <c r="E26" s="297" t="s">
        <v>81</v>
      </c>
      <c r="F26" s="298"/>
      <c r="G26" s="337"/>
      <c r="N26" s="215" t="s">
        <v>121</v>
      </c>
      <c r="O26" s="277"/>
    </row>
    <row r="27" spans="1:15" x14ac:dyDescent="0.25">
      <c r="A27" s="277"/>
      <c r="B27" s="290"/>
      <c r="C27" s="290"/>
      <c r="D27" s="290"/>
      <c r="E27" s="299" t="s">
        <v>82</v>
      </c>
      <c r="F27" s="300"/>
      <c r="G27" s="337"/>
      <c r="J27" s="251"/>
      <c r="N27" s="215" t="s">
        <v>122</v>
      </c>
      <c r="O27" s="277"/>
    </row>
    <row r="28" spans="1:15" x14ac:dyDescent="0.25">
      <c r="A28" s="277"/>
      <c r="B28" s="290"/>
      <c r="C28" s="290"/>
      <c r="D28" s="290"/>
      <c r="E28" s="299" t="s">
        <v>83</v>
      </c>
      <c r="F28" s="300"/>
      <c r="G28" s="338" t="e">
        <f>+G81/G55-1</f>
        <v>#DIV/0!</v>
      </c>
      <c r="L28" s="251"/>
      <c r="M28" s="251"/>
      <c r="N28" s="215" t="s">
        <v>123</v>
      </c>
      <c r="O28" s="277"/>
    </row>
    <row r="29" spans="1:15" ht="15" customHeight="1" x14ac:dyDescent="0.25">
      <c r="A29" s="277"/>
      <c r="B29" s="290"/>
      <c r="C29" s="290"/>
      <c r="D29" s="290"/>
      <c r="E29" s="284" t="s">
        <v>194</v>
      </c>
      <c r="F29" s="284"/>
      <c r="G29" s="360"/>
      <c r="I29" s="251"/>
      <c r="N29" s="215" t="s">
        <v>124</v>
      </c>
      <c r="O29" s="277"/>
    </row>
    <row r="30" spans="1:15" s="251" customFormat="1" x14ac:dyDescent="0.25">
      <c r="A30" s="277"/>
      <c r="B30" s="290"/>
      <c r="C30" s="290"/>
      <c r="D30" s="290"/>
      <c r="E30" s="328"/>
      <c r="F30" s="290"/>
      <c r="G30" s="331"/>
      <c r="I30"/>
      <c r="J30"/>
      <c r="L30"/>
      <c r="M30"/>
      <c r="N30" s="215" t="s">
        <v>125</v>
      </c>
      <c r="O30" s="277"/>
    </row>
    <row r="31" spans="1:15" x14ac:dyDescent="0.25">
      <c r="A31" s="277"/>
      <c r="B31" s="290"/>
      <c r="C31" s="290"/>
      <c r="D31" s="290"/>
      <c r="E31" s="301" t="s">
        <v>42</v>
      </c>
      <c r="F31" s="301"/>
      <c r="G31" s="277"/>
      <c r="N31" s="215" t="s">
        <v>126</v>
      </c>
      <c r="O31" s="277"/>
    </row>
    <row r="32" spans="1:15" x14ac:dyDescent="0.25">
      <c r="A32" s="277"/>
      <c r="B32" s="290"/>
      <c r="C32" s="290"/>
      <c r="D32" s="290"/>
      <c r="E32" s="301"/>
      <c r="F32" s="301"/>
      <c r="G32" s="277"/>
      <c r="N32" s="215" t="s">
        <v>127</v>
      </c>
      <c r="O32" s="277"/>
    </row>
    <row r="33" spans="1:15" x14ac:dyDescent="0.25">
      <c r="A33" s="277"/>
      <c r="B33" s="290"/>
      <c r="C33" s="290"/>
      <c r="D33" s="290"/>
      <c r="E33" s="284" t="s">
        <v>12</v>
      </c>
      <c r="F33" s="302" t="s">
        <v>3</v>
      </c>
      <c r="G33" s="285">
        <f>G20</f>
        <v>0</v>
      </c>
      <c r="N33" s="215" t="s">
        <v>128</v>
      </c>
      <c r="O33" s="277"/>
    </row>
    <row r="34" spans="1:15" x14ac:dyDescent="0.25">
      <c r="A34" s="277"/>
      <c r="B34" s="303"/>
      <c r="C34" s="290"/>
      <c r="D34" s="290"/>
      <c r="E34" s="304" t="s">
        <v>29</v>
      </c>
      <c r="F34" s="269" t="e">
        <f t="shared" ref="F34:F44" si="0">SUMPRODUCT(G34:X34,$G$56:$X$56)/$F$56</f>
        <v>#DIV/0!</v>
      </c>
      <c r="G34" s="371"/>
      <c r="N34" s="215" t="s">
        <v>129</v>
      </c>
      <c r="O34" s="277"/>
    </row>
    <row r="35" spans="1:15" x14ac:dyDescent="0.25">
      <c r="A35" s="277"/>
      <c r="B35" s="303"/>
      <c r="C35" s="290"/>
      <c r="D35" s="290"/>
      <c r="E35" s="304" t="s">
        <v>30</v>
      </c>
      <c r="F35" s="269" t="e">
        <f t="shared" si="0"/>
        <v>#DIV/0!</v>
      </c>
      <c r="G35" s="371"/>
      <c r="N35" s="215" t="s">
        <v>130</v>
      </c>
      <c r="O35" s="277"/>
    </row>
    <row r="36" spans="1:15" x14ac:dyDescent="0.25">
      <c r="A36" s="277"/>
      <c r="B36" s="303"/>
      <c r="C36" s="290"/>
      <c r="D36" s="290"/>
      <c r="E36" s="293" t="s">
        <v>0</v>
      </c>
      <c r="F36" s="269" t="e">
        <f t="shared" si="0"/>
        <v>#DIV/0!</v>
      </c>
      <c r="G36" s="371"/>
      <c r="N36" s="215" t="s">
        <v>131</v>
      </c>
      <c r="O36" s="277"/>
    </row>
    <row r="37" spans="1:15" x14ac:dyDescent="0.25">
      <c r="A37" s="277"/>
      <c r="B37" s="303"/>
      <c r="C37" s="290"/>
      <c r="D37" s="290"/>
      <c r="E37" s="305" t="s">
        <v>31</v>
      </c>
      <c r="F37" s="269" t="e">
        <f t="shared" si="0"/>
        <v>#DIV/0!</v>
      </c>
      <c r="G37" s="371"/>
      <c r="N37" s="215" t="s">
        <v>132</v>
      </c>
      <c r="O37" s="277"/>
    </row>
    <row r="38" spans="1:15" x14ac:dyDescent="0.25">
      <c r="A38" s="277"/>
      <c r="B38" s="303"/>
      <c r="C38" s="290"/>
      <c r="D38" s="290"/>
      <c r="E38" s="293" t="s">
        <v>32</v>
      </c>
      <c r="F38" s="269" t="e">
        <f t="shared" si="0"/>
        <v>#DIV/0!</v>
      </c>
      <c r="G38" s="371"/>
      <c r="N38" s="215" t="s">
        <v>133</v>
      </c>
      <c r="O38" s="277"/>
    </row>
    <row r="39" spans="1:15" x14ac:dyDescent="0.25">
      <c r="A39" s="277"/>
      <c r="B39" s="303"/>
      <c r="C39" s="290"/>
      <c r="D39" s="290"/>
      <c r="E39" s="305" t="s">
        <v>1</v>
      </c>
      <c r="F39" s="269" t="e">
        <f t="shared" si="0"/>
        <v>#DIV/0!</v>
      </c>
      <c r="G39" s="371"/>
      <c r="N39" s="215" t="s">
        <v>134</v>
      </c>
      <c r="O39" s="277"/>
    </row>
    <row r="40" spans="1:15" x14ac:dyDescent="0.25">
      <c r="A40" s="277"/>
      <c r="B40" s="303"/>
      <c r="C40" s="290"/>
      <c r="D40" s="290"/>
      <c r="E40" s="305" t="s">
        <v>33</v>
      </c>
      <c r="F40" s="269" t="e">
        <f t="shared" si="0"/>
        <v>#DIV/0!</v>
      </c>
      <c r="G40" s="371"/>
      <c r="N40" s="215" t="s">
        <v>135</v>
      </c>
      <c r="O40" s="277"/>
    </row>
    <row r="41" spans="1:15" x14ac:dyDescent="0.25">
      <c r="A41" s="277"/>
      <c r="B41" s="303"/>
      <c r="C41" s="290"/>
      <c r="D41" s="290"/>
      <c r="E41" s="305" t="s">
        <v>103</v>
      </c>
      <c r="F41" s="269" t="e">
        <f t="shared" si="0"/>
        <v>#DIV/0!</v>
      </c>
      <c r="G41" s="371"/>
      <c r="N41" s="215" t="s">
        <v>136</v>
      </c>
      <c r="O41" s="277"/>
    </row>
    <row r="42" spans="1:15" x14ac:dyDescent="0.25">
      <c r="A42" s="277"/>
      <c r="B42" s="303"/>
      <c r="C42" s="290"/>
      <c r="D42" s="290"/>
      <c r="E42" s="305" t="s">
        <v>34</v>
      </c>
      <c r="F42" s="269" t="e">
        <f t="shared" si="0"/>
        <v>#DIV/0!</v>
      </c>
      <c r="G42" s="371"/>
      <c r="N42" s="215" t="s">
        <v>137</v>
      </c>
      <c r="O42" s="277"/>
    </row>
    <row r="43" spans="1:15" x14ac:dyDescent="0.25">
      <c r="A43" s="277"/>
      <c r="B43" s="290"/>
      <c r="C43" s="290"/>
      <c r="D43" s="290"/>
      <c r="E43" s="291" t="s">
        <v>43</v>
      </c>
      <c r="F43" s="269" t="e">
        <f t="shared" si="0"/>
        <v>#DIV/0!</v>
      </c>
      <c r="G43" s="269">
        <f>SUM(G34:G42)</f>
        <v>0</v>
      </c>
      <c r="N43" s="215" t="s">
        <v>138</v>
      </c>
      <c r="O43" s="277"/>
    </row>
    <row r="44" spans="1:15" x14ac:dyDescent="0.25">
      <c r="A44" s="277"/>
      <c r="B44" s="290"/>
      <c r="C44" s="290"/>
      <c r="D44" s="290"/>
      <c r="E44" s="306" t="s">
        <v>99</v>
      </c>
      <c r="F44" s="269" t="e">
        <f t="shared" si="0"/>
        <v>#DIV/0!</v>
      </c>
      <c r="G44" s="268"/>
      <c r="N44" s="215" t="s">
        <v>139</v>
      </c>
      <c r="O44" s="277"/>
    </row>
    <row r="45" spans="1:15" x14ac:dyDescent="0.25">
      <c r="A45" s="277"/>
      <c r="B45" s="290"/>
      <c r="C45" s="290"/>
      <c r="D45" s="290"/>
      <c r="E45" s="307"/>
      <c r="F45" s="63"/>
      <c r="G45" s="6"/>
      <c r="I45" s="9"/>
      <c r="N45" s="215" t="s">
        <v>140</v>
      </c>
      <c r="O45" s="277"/>
    </row>
    <row r="46" spans="1:15" x14ac:dyDescent="0.25">
      <c r="A46" s="277"/>
      <c r="B46" s="290"/>
      <c r="C46" s="290"/>
      <c r="D46" s="290"/>
      <c r="E46" s="290"/>
      <c r="F46" s="290"/>
      <c r="G46" s="277"/>
      <c r="I46" s="9"/>
      <c r="J46" s="9"/>
      <c r="N46" s="215" t="s">
        <v>141</v>
      </c>
      <c r="O46" s="277"/>
    </row>
    <row r="47" spans="1:15" x14ac:dyDescent="0.25">
      <c r="A47" s="277"/>
      <c r="B47" s="290"/>
      <c r="C47" s="290"/>
      <c r="D47" s="290"/>
      <c r="E47" s="308" t="s">
        <v>36</v>
      </c>
      <c r="F47" s="359" t="e">
        <f>SUMPRODUCT(G47:X47,G48:X48)/SUM(G48:X48)</f>
        <v>#DIV/0!</v>
      </c>
      <c r="G47" s="343"/>
      <c r="N47" s="215" t="s">
        <v>142</v>
      </c>
      <c r="O47" s="277"/>
    </row>
    <row r="48" spans="1:15" x14ac:dyDescent="0.25">
      <c r="A48" s="277"/>
      <c r="B48" s="290"/>
      <c r="C48" s="290"/>
      <c r="D48" s="290"/>
      <c r="E48" s="308" t="s">
        <v>6</v>
      </c>
      <c r="F48" s="357">
        <f>SUM(G48:X48)</f>
        <v>0</v>
      </c>
      <c r="G48" s="358"/>
      <c r="I48" s="9"/>
      <c r="J48" s="28"/>
      <c r="N48" s="215" t="s">
        <v>143</v>
      </c>
      <c r="O48" s="277"/>
    </row>
    <row r="49" spans="1:15" x14ac:dyDescent="0.25">
      <c r="A49" s="277"/>
      <c r="B49" s="290"/>
      <c r="C49" s="290"/>
      <c r="D49" s="290"/>
      <c r="E49" s="290"/>
      <c r="F49" s="290"/>
      <c r="G49" s="277"/>
      <c r="N49" s="215" t="s">
        <v>144</v>
      </c>
      <c r="O49" s="277"/>
    </row>
    <row r="50" spans="1:15" x14ac:dyDescent="0.25">
      <c r="A50" s="277"/>
      <c r="B50" s="290"/>
      <c r="C50" s="290"/>
      <c r="D50" s="290"/>
      <c r="E50" s="290"/>
      <c r="F50" s="290"/>
      <c r="G50" s="282"/>
      <c r="N50" s="215" t="s">
        <v>145</v>
      </c>
      <c r="O50" s="277"/>
    </row>
    <row r="51" spans="1:15" x14ac:dyDescent="0.25">
      <c r="A51" s="277"/>
      <c r="B51" s="290"/>
      <c r="C51" s="290"/>
      <c r="D51" s="290"/>
      <c r="E51" s="290"/>
      <c r="F51" s="290"/>
      <c r="G51" s="35"/>
      <c r="N51" s="215" t="s">
        <v>146</v>
      </c>
      <c r="O51" s="277"/>
    </row>
    <row r="52" spans="1:15" x14ac:dyDescent="0.25">
      <c r="A52" s="277"/>
      <c r="B52" s="290"/>
      <c r="C52" s="290"/>
      <c r="D52" s="309" t="s">
        <v>71</v>
      </c>
      <c r="E52" s="290"/>
      <c r="F52" s="290"/>
      <c r="G52" s="283"/>
      <c r="N52" s="215" t="s">
        <v>147</v>
      </c>
      <c r="O52" s="277"/>
    </row>
    <row r="53" spans="1:15" x14ac:dyDescent="0.25">
      <c r="A53" s="277"/>
      <c r="B53" s="290"/>
      <c r="C53" s="290"/>
      <c r="D53" s="290"/>
      <c r="E53" s="309"/>
      <c r="F53" s="309"/>
      <c r="G53" s="277"/>
      <c r="N53" s="215" t="s">
        <v>148</v>
      </c>
      <c r="O53" s="277"/>
    </row>
    <row r="54" spans="1:15" x14ac:dyDescent="0.25">
      <c r="A54" s="281" t="s">
        <v>92</v>
      </c>
      <c r="B54" s="302" t="s">
        <v>89</v>
      </c>
      <c r="C54" s="290"/>
      <c r="D54" s="284"/>
      <c r="E54" s="284" t="s">
        <v>12</v>
      </c>
      <c r="F54" s="284" t="str">
        <f>F33</f>
        <v>Total</v>
      </c>
      <c r="G54" s="285">
        <f>G33</f>
        <v>0</v>
      </c>
      <c r="H54" s="5"/>
      <c r="N54" s="215" t="s">
        <v>149</v>
      </c>
      <c r="O54" s="277"/>
    </row>
    <row r="55" spans="1:15" ht="15.75" customHeight="1" x14ac:dyDescent="0.25">
      <c r="A55" s="280" t="e">
        <f>IF(B55=F55,"'OK","WARNING")</f>
        <v>#DIV/0!</v>
      </c>
      <c r="B55" s="310">
        <f>+'Wksh 1 - Market Experience'!G14</f>
        <v>365.35747755681581</v>
      </c>
      <c r="C55" s="290"/>
      <c r="D55" s="379" t="s">
        <v>44</v>
      </c>
      <c r="E55" s="311" t="s">
        <v>187</v>
      </c>
      <c r="F55" s="355" t="e">
        <f>SUMPRODUCT(G55:X55,G56:X56)/SUM(G56:X56)</f>
        <v>#DIV/0!</v>
      </c>
      <c r="G55" s="356"/>
      <c r="H55" s="22"/>
      <c r="N55" s="215" t="s">
        <v>150</v>
      </c>
      <c r="O55" s="277"/>
    </row>
    <row r="56" spans="1:15" x14ac:dyDescent="0.25">
      <c r="A56" s="280" t="str">
        <f>IF(B56=F56,"'OK","WARNING")</f>
        <v>WARNING</v>
      </c>
      <c r="B56" s="67">
        <f>+'Wksh 1 - Market Experience'!F18</f>
        <v>369896</v>
      </c>
      <c r="C56" s="290"/>
      <c r="D56" s="380"/>
      <c r="E56" s="312" t="s">
        <v>35</v>
      </c>
      <c r="F56" s="353">
        <f>SUM(G56:X56)</f>
        <v>0</v>
      </c>
      <c r="G56" s="354"/>
      <c r="H56" s="22"/>
      <c r="N56" s="215" t="s">
        <v>151</v>
      </c>
      <c r="O56" s="277"/>
    </row>
    <row r="57" spans="1:15" x14ac:dyDescent="0.25">
      <c r="A57" s="280" t="str">
        <f>IF(B57=F57,"'OK","WARNING")</f>
        <v>WARNING</v>
      </c>
      <c r="B57" s="313">
        <f>+'Wksh 1 - Market Experience'!F14</f>
        <v>135144269.51835594</v>
      </c>
      <c r="C57" s="290"/>
      <c r="D57" s="380"/>
      <c r="E57" s="70" t="s">
        <v>46</v>
      </c>
      <c r="F57" s="347">
        <f>SUM(G57:X57)</f>
        <v>0</v>
      </c>
      <c r="G57" s="372"/>
      <c r="H57" s="22"/>
      <c r="N57" s="215" t="s">
        <v>152</v>
      </c>
      <c r="O57" s="277"/>
    </row>
    <row r="58" spans="1:15" ht="30" customHeight="1" x14ac:dyDescent="0.25">
      <c r="A58" s="277"/>
      <c r="B58" s="314"/>
      <c r="C58" s="290"/>
      <c r="D58" s="380"/>
      <c r="E58" s="315" t="s">
        <v>188</v>
      </c>
      <c r="F58" s="351" t="e">
        <f>SUMPRODUCT($G$57:$X$57,G58:X58)/$F$57</f>
        <v>#DIV/0!</v>
      </c>
      <c r="G58" s="270"/>
      <c r="H58" s="22"/>
      <c r="N58" s="215" t="s">
        <v>153</v>
      </c>
      <c r="O58" s="277"/>
    </row>
    <row r="59" spans="1:15" ht="30" customHeight="1" x14ac:dyDescent="0.25">
      <c r="A59" s="277"/>
      <c r="B59" s="314"/>
      <c r="C59" s="290"/>
      <c r="D59" s="380"/>
      <c r="E59" s="315" t="s">
        <v>66</v>
      </c>
      <c r="F59" s="351" t="e">
        <f>SUMPRODUCT($G$57:$X$57,G59:X59)/$F$57</f>
        <v>#DIV/0!</v>
      </c>
      <c r="G59" s="270"/>
      <c r="H59" s="22"/>
      <c r="N59" s="215" t="s">
        <v>154</v>
      </c>
      <c r="O59" s="277"/>
    </row>
    <row r="60" spans="1:15" ht="17.25" customHeight="1" x14ac:dyDescent="0.25">
      <c r="A60" s="277"/>
      <c r="B60" s="314"/>
      <c r="C60" s="290"/>
      <c r="D60" s="380"/>
      <c r="E60" s="315" t="s">
        <v>67</v>
      </c>
      <c r="F60" s="351" t="e">
        <f>1-F58-F59</f>
        <v>#DIV/0!</v>
      </c>
      <c r="G60" s="271">
        <f>1-G59-G58</f>
        <v>1</v>
      </c>
      <c r="H60" s="22"/>
      <c r="N60" s="215" t="s">
        <v>155</v>
      </c>
      <c r="O60" s="277"/>
    </row>
    <row r="61" spans="1:15" ht="15" customHeight="1" x14ac:dyDescent="0.25">
      <c r="A61" s="280" t="str">
        <f>IF(B61=F61,"'OK","WARNING")</f>
        <v>WARNING</v>
      </c>
      <c r="B61" s="313">
        <f>+'Wksh 1 - Market Experience'!F16</f>
        <v>144868031.03034738</v>
      </c>
      <c r="C61" s="290"/>
      <c r="D61" s="379" t="s">
        <v>45</v>
      </c>
      <c r="E61" s="73" t="s">
        <v>68</v>
      </c>
      <c r="F61" s="347">
        <f>SUM(G61:X61)</f>
        <v>0</v>
      </c>
      <c r="G61" s="348"/>
      <c r="H61" s="22"/>
      <c r="N61" s="215" t="s">
        <v>16</v>
      </c>
      <c r="O61" s="277"/>
    </row>
    <row r="62" spans="1:15" ht="29.25" customHeight="1" x14ac:dyDescent="0.25">
      <c r="A62" s="277"/>
      <c r="B62" s="314"/>
      <c r="C62" s="290"/>
      <c r="D62" s="380"/>
      <c r="E62" s="315" t="s">
        <v>189</v>
      </c>
      <c r="F62" s="351" t="e">
        <f>SUMPRODUCT($G$61:$X$61,G62:X62)/$F$61</f>
        <v>#DIV/0!</v>
      </c>
      <c r="G62" s="374"/>
      <c r="H62" s="22"/>
      <c r="N62" s="215" t="s">
        <v>156</v>
      </c>
      <c r="O62" s="277"/>
    </row>
    <row r="63" spans="1:15" ht="29.25" customHeight="1" x14ac:dyDescent="0.25">
      <c r="A63" s="277"/>
      <c r="B63" s="314"/>
      <c r="C63" s="290"/>
      <c r="D63" s="380"/>
      <c r="E63" s="315" t="s">
        <v>69</v>
      </c>
      <c r="F63" s="351" t="e">
        <f>SUMPRODUCT($G$61:$X$61,G63:X63)/$F$61</f>
        <v>#DIV/0!</v>
      </c>
      <c r="G63" s="374"/>
      <c r="H63" s="22"/>
      <c r="N63" s="363" t="s">
        <v>181</v>
      </c>
      <c r="O63" s="277"/>
    </row>
    <row r="64" spans="1:15" ht="17.25" customHeight="1" x14ac:dyDescent="0.25">
      <c r="A64" s="277"/>
      <c r="B64" s="314"/>
      <c r="C64" s="290"/>
      <c r="D64" s="380"/>
      <c r="E64" s="315" t="s">
        <v>70</v>
      </c>
      <c r="F64" s="351" t="e">
        <f>1-F62-F63</f>
        <v>#DIV/0!</v>
      </c>
      <c r="G64" s="271">
        <f>1-G63-G62</f>
        <v>1</v>
      </c>
      <c r="H64" s="22"/>
      <c r="N64" s="363" t="s">
        <v>182</v>
      </c>
      <c r="O64" s="277"/>
    </row>
    <row r="65" spans="1:15" ht="30" x14ac:dyDescent="0.25">
      <c r="A65" s="277"/>
      <c r="B65" s="314"/>
      <c r="C65" s="290"/>
      <c r="D65" s="380"/>
      <c r="E65" s="316" t="s">
        <v>100</v>
      </c>
      <c r="F65" s="347">
        <f>SUM(G65:X65)</f>
        <v>0</v>
      </c>
      <c r="G65" s="348"/>
      <c r="H65" s="22"/>
      <c r="N65" s="363" t="s">
        <v>183</v>
      </c>
      <c r="O65" s="277"/>
    </row>
    <row r="66" spans="1:15" ht="29.25" customHeight="1" x14ac:dyDescent="0.25">
      <c r="A66" s="277"/>
      <c r="B66" s="314"/>
      <c r="C66" s="290"/>
      <c r="D66" s="380"/>
      <c r="E66" s="317" t="s">
        <v>85</v>
      </c>
      <c r="F66" s="349">
        <f>SUM(G66:X66)</f>
        <v>0</v>
      </c>
      <c r="G66" s="350"/>
      <c r="H66" s="22"/>
      <c r="N66" s="363" t="s">
        <v>184</v>
      </c>
      <c r="O66" s="277"/>
    </row>
    <row r="67" spans="1:15" ht="27.75" customHeight="1" x14ac:dyDescent="0.25">
      <c r="A67" s="277"/>
      <c r="B67" s="314"/>
      <c r="C67" s="290"/>
      <c r="D67" s="380"/>
      <c r="E67" s="317" t="s">
        <v>86</v>
      </c>
      <c r="F67" s="351" t="e">
        <f>+F66/F65</f>
        <v>#DIV/0!</v>
      </c>
      <c r="G67" s="341" t="e">
        <f>+G66/G65</f>
        <v>#DIV/0!</v>
      </c>
      <c r="H67" s="22"/>
      <c r="N67" s="363" t="s">
        <v>185</v>
      </c>
      <c r="O67" s="277"/>
    </row>
    <row r="68" spans="1:15" ht="15" customHeight="1" x14ac:dyDescent="0.25">
      <c r="A68" s="280" t="str">
        <f>IF(B68=F68,"'OK","WARNING")</f>
        <v>WARNING</v>
      </c>
      <c r="B68" s="313">
        <f>+'Wksh 1 - Market Experience'!F15</f>
        <v>108060715.65926482</v>
      </c>
      <c r="C68" s="290"/>
      <c r="D68" s="380"/>
      <c r="E68" s="73" t="s">
        <v>84</v>
      </c>
      <c r="F68" s="344">
        <f>SUM(G68:X68)</f>
        <v>0</v>
      </c>
      <c r="G68" s="345">
        <f>+G61-G65</f>
        <v>0</v>
      </c>
      <c r="H68" s="22"/>
      <c r="O68" s="277"/>
    </row>
    <row r="69" spans="1:15" ht="15" customHeight="1" x14ac:dyDescent="0.25">
      <c r="A69" s="277"/>
      <c r="B69" s="318"/>
      <c r="C69" s="290"/>
      <c r="D69" s="319"/>
      <c r="E69" s="73"/>
      <c r="F69" s="287"/>
      <c r="G69" s="40"/>
      <c r="H69" s="22"/>
    </row>
    <row r="70" spans="1:15" ht="15" customHeight="1" x14ac:dyDescent="0.25">
      <c r="A70" s="280"/>
      <c r="B70" s="314"/>
      <c r="C70" s="290"/>
      <c r="D70" s="319"/>
      <c r="E70" s="73" t="s">
        <v>94</v>
      </c>
      <c r="F70" s="342">
        <f>SUM(G70:X70)</f>
        <v>0</v>
      </c>
      <c r="G70" s="343"/>
      <c r="H70" s="22"/>
    </row>
    <row r="71" spans="1:15" ht="15" customHeight="1" x14ac:dyDescent="0.25">
      <c r="A71" s="277"/>
      <c r="B71" s="314"/>
      <c r="C71" s="290"/>
      <c r="D71" s="320"/>
      <c r="E71" s="73" t="s">
        <v>93</v>
      </c>
      <c r="F71" s="342">
        <f>SUM(G71:X71)</f>
        <v>0</v>
      </c>
      <c r="G71" s="343"/>
      <c r="H71" s="22"/>
    </row>
    <row r="72" spans="1:15" ht="12.75" customHeight="1" x14ac:dyDescent="0.25">
      <c r="A72" s="277"/>
      <c r="B72" s="321"/>
      <c r="C72" s="290"/>
      <c r="D72" s="322"/>
      <c r="E72" s="323"/>
      <c r="F72" s="334"/>
      <c r="G72" s="23"/>
      <c r="H72" s="22"/>
    </row>
    <row r="73" spans="1:15" x14ac:dyDescent="0.25">
      <c r="A73" s="280" t="e">
        <f>IF(B73=F73,"'OK","WARNING")</f>
        <v>#DIV/0!</v>
      </c>
      <c r="B73" s="81">
        <f>+'Wksh 1 - Market Experience'!G15</f>
        <v>292.13810276203264</v>
      </c>
      <c r="C73" s="290"/>
      <c r="D73" s="324"/>
      <c r="E73" s="308" t="s">
        <v>87</v>
      </c>
      <c r="F73" s="272" t="e">
        <f>+F68/F56</f>
        <v>#DIV/0!</v>
      </c>
      <c r="G73" s="272" t="e">
        <f>+G68/G56</f>
        <v>#DIV/0!</v>
      </c>
      <c r="H73" s="22"/>
    </row>
    <row r="74" spans="1:15" x14ac:dyDescent="0.25">
      <c r="A74" s="280" t="e">
        <f>IF(B74=F74,"'OK","WARNING")</f>
        <v>#DIV/0!</v>
      </c>
      <c r="B74" s="81">
        <f>+'Wksh 1 - Market Experience'!G16</f>
        <v>391.64530308613064</v>
      </c>
      <c r="C74" s="290"/>
      <c r="D74" s="325"/>
      <c r="E74" s="308" t="s">
        <v>8</v>
      </c>
      <c r="F74" s="272" t="e">
        <f>+F61/F56</f>
        <v>#DIV/0!</v>
      </c>
      <c r="G74" s="272" t="e">
        <f>+G61/G56</f>
        <v>#DIV/0!</v>
      </c>
      <c r="H74" s="22"/>
    </row>
    <row r="75" spans="1:15" x14ac:dyDescent="0.25">
      <c r="A75" s="277"/>
      <c r="B75" s="314"/>
      <c r="C75" s="290"/>
      <c r="D75" s="326"/>
      <c r="E75" s="284" t="s">
        <v>88</v>
      </c>
      <c r="F75" s="272" t="e">
        <f>+F74*F62</f>
        <v>#DIV/0!</v>
      </c>
      <c r="G75" s="272" t="e">
        <f>+G74*G62</f>
        <v>#DIV/0!</v>
      </c>
      <c r="H75" s="22"/>
    </row>
    <row r="76" spans="1:15" x14ac:dyDescent="0.25">
      <c r="A76" s="277"/>
      <c r="B76" s="290"/>
      <c r="C76" s="290"/>
      <c r="D76" s="290"/>
      <c r="E76" s="290"/>
      <c r="F76" s="335"/>
      <c r="G76" s="33"/>
      <c r="H76" s="22"/>
    </row>
    <row r="77" spans="1:15" x14ac:dyDescent="0.25">
      <c r="A77" s="277"/>
      <c r="B77" s="290"/>
      <c r="C77" s="290"/>
      <c r="D77" s="290"/>
      <c r="E77" s="290"/>
      <c r="F77" s="328"/>
      <c r="G77" s="279"/>
      <c r="H77" s="22"/>
    </row>
    <row r="78" spans="1:15" x14ac:dyDescent="0.25">
      <c r="A78" s="277"/>
      <c r="B78" s="290"/>
      <c r="C78" s="290"/>
      <c r="D78" s="327" t="s">
        <v>72</v>
      </c>
      <c r="E78" s="290"/>
      <c r="F78" s="328"/>
      <c r="G78" s="279"/>
      <c r="H78" s="22"/>
    </row>
    <row r="79" spans="1:15" x14ac:dyDescent="0.25">
      <c r="A79" s="277"/>
      <c r="B79" s="290"/>
      <c r="C79" s="290"/>
      <c r="D79" s="290"/>
      <c r="E79" s="290"/>
      <c r="F79" s="336"/>
      <c r="G79" s="277"/>
      <c r="H79" s="22"/>
    </row>
    <row r="80" spans="1:15" x14ac:dyDescent="0.25">
      <c r="A80" s="281" t="s">
        <v>92</v>
      </c>
      <c r="B80" s="302" t="s">
        <v>89</v>
      </c>
      <c r="C80" s="290"/>
      <c r="D80" s="284"/>
      <c r="E80" s="284" t="s">
        <v>12</v>
      </c>
      <c r="F80" s="284" t="str">
        <f>F54</f>
        <v>Total</v>
      </c>
      <c r="G80" s="285">
        <f>G54</f>
        <v>0</v>
      </c>
      <c r="H80" s="22"/>
    </row>
    <row r="81" spans="1:8" ht="14.45" customHeight="1" x14ac:dyDescent="0.25">
      <c r="A81" s="280" t="e">
        <f>IF(B81=F81,"'OK","WARNING")</f>
        <v>#DIV/0!</v>
      </c>
      <c r="B81" s="310">
        <f>+'Wksh 1 - Market Experience'!V43</f>
        <v>675.86763170659674</v>
      </c>
      <c r="C81" s="290"/>
      <c r="D81" s="379" t="s">
        <v>44</v>
      </c>
      <c r="E81" s="308" t="s">
        <v>187</v>
      </c>
      <c r="F81" s="352" t="e">
        <f>SUMPRODUCT(G81:X81,G82:X82)/SUM(G82:X82)</f>
        <v>#DIV/0!</v>
      </c>
      <c r="G81" s="356"/>
      <c r="H81" s="22"/>
    </row>
    <row r="82" spans="1:8" x14ac:dyDescent="0.25">
      <c r="A82" s="280" t="str">
        <f>IF(B82=F82,"'OK","WARNING")</f>
        <v>WARNING</v>
      </c>
      <c r="B82" s="67">
        <f>+'Wksh 1 - Market Experience'!X47</f>
        <v>503998</v>
      </c>
      <c r="C82" s="290"/>
      <c r="D82" s="380"/>
      <c r="E82" s="308" t="s">
        <v>35</v>
      </c>
      <c r="F82" s="332">
        <f>SUM(G82:X82)</f>
        <v>0</v>
      </c>
      <c r="G82" s="287">
        <f>G48</f>
        <v>0</v>
      </c>
      <c r="H82" s="22"/>
    </row>
    <row r="83" spans="1:8" x14ac:dyDescent="0.25">
      <c r="A83" s="280" t="str">
        <f>IF(B83=F83,"'OK","WARNING")</f>
        <v>WARNING</v>
      </c>
      <c r="B83" s="313">
        <f>+'Wksh 1 - Market Experience'!X43</f>
        <v>340635934.64486134</v>
      </c>
      <c r="C83" s="290"/>
      <c r="D83" s="380"/>
      <c r="E83" s="70" t="s">
        <v>46</v>
      </c>
      <c r="F83" s="347">
        <f>SUM(G83:X83)</f>
        <v>0</v>
      </c>
      <c r="G83" s="373"/>
      <c r="H83" s="22"/>
    </row>
    <row r="84" spans="1:8" ht="33" customHeight="1" x14ac:dyDescent="0.25">
      <c r="A84" s="277"/>
      <c r="B84" s="314"/>
      <c r="C84" s="290"/>
      <c r="D84" s="380"/>
      <c r="E84" s="315" t="s">
        <v>188</v>
      </c>
      <c r="F84" s="351" t="e">
        <f>SUMPRODUCT($G$83:$X$83,G84:X84)/$F$83</f>
        <v>#DIV/0!</v>
      </c>
      <c r="G84" s="374"/>
      <c r="H84" s="22"/>
    </row>
    <row r="85" spans="1:8" ht="30" x14ac:dyDescent="0.25">
      <c r="A85" s="277"/>
      <c r="B85" s="314"/>
      <c r="C85" s="290"/>
      <c r="D85" s="380"/>
      <c r="E85" s="315" t="s">
        <v>66</v>
      </c>
      <c r="F85" s="351" t="e">
        <f>SUMPRODUCT($G$83:$X$83,G85:X85)/$F$83</f>
        <v>#DIV/0!</v>
      </c>
      <c r="G85" s="374"/>
      <c r="H85" s="22"/>
    </row>
    <row r="86" spans="1:8" x14ac:dyDescent="0.25">
      <c r="A86" s="277"/>
      <c r="B86" s="314"/>
      <c r="C86" s="290"/>
      <c r="D86" s="380"/>
      <c r="E86" s="315" t="s">
        <v>67</v>
      </c>
      <c r="F86" s="351" t="e">
        <f>1-F84-F85</f>
        <v>#DIV/0!</v>
      </c>
      <c r="G86" s="271">
        <f>1-G85-G84</f>
        <v>1</v>
      </c>
      <c r="H86" s="22"/>
    </row>
    <row r="87" spans="1:8" ht="14.45" customHeight="1" x14ac:dyDescent="0.25">
      <c r="A87" s="280" t="str">
        <f>IF(B87=F87,"'OK","WARNING")</f>
        <v>WARNING</v>
      </c>
      <c r="B87" s="67">
        <f>+('Wksh 1 - Market Experience'!V32-'Wksh 1 - Market Experience'!V35-'Wksh 1 - Market Experience'!V37)*'Wksh 1 - Market Experience'!X47</f>
        <v>377991885.57014477</v>
      </c>
      <c r="C87" s="290"/>
      <c r="D87" s="379" t="s">
        <v>45</v>
      </c>
      <c r="E87" s="73" t="s">
        <v>68</v>
      </c>
      <c r="F87" s="347">
        <f>SUM(G87:X87)</f>
        <v>0</v>
      </c>
      <c r="G87" s="348"/>
      <c r="H87" s="22"/>
    </row>
    <row r="88" spans="1:8" ht="30.75" customHeight="1" x14ac:dyDescent="0.25">
      <c r="A88" s="277"/>
      <c r="B88" s="314"/>
      <c r="C88" s="290"/>
      <c r="D88" s="380"/>
      <c r="E88" s="315" t="s">
        <v>189</v>
      </c>
      <c r="F88" s="351" t="e">
        <f>SUMPRODUCT($G$87:$X$87,G88:X88)/$F$87</f>
        <v>#DIV/0!</v>
      </c>
      <c r="G88" s="374"/>
      <c r="H88" s="22"/>
    </row>
    <row r="89" spans="1:8" ht="30" x14ac:dyDescent="0.25">
      <c r="A89" s="277"/>
      <c r="B89" s="314"/>
      <c r="C89" s="290"/>
      <c r="D89" s="380"/>
      <c r="E89" s="315" t="s">
        <v>69</v>
      </c>
      <c r="F89" s="351" t="e">
        <f>SUMPRODUCT($G$87:$X$87,G89:X89)/$F$87</f>
        <v>#DIV/0!</v>
      </c>
      <c r="G89" s="374"/>
      <c r="H89" s="22"/>
    </row>
    <row r="90" spans="1:8" x14ac:dyDescent="0.25">
      <c r="A90" s="277"/>
      <c r="B90" s="314"/>
      <c r="C90" s="290"/>
      <c r="D90" s="380"/>
      <c r="E90" s="315" t="s">
        <v>70</v>
      </c>
      <c r="F90" s="351" t="e">
        <f>1-F88-F89</f>
        <v>#DIV/0!</v>
      </c>
      <c r="G90" s="271">
        <f>1-G89-G88</f>
        <v>1</v>
      </c>
      <c r="H90" s="22"/>
    </row>
    <row r="91" spans="1:8" ht="30" x14ac:dyDescent="0.25">
      <c r="A91" s="277"/>
      <c r="B91" s="314"/>
      <c r="C91" s="290"/>
      <c r="D91" s="380"/>
      <c r="E91" s="316" t="s">
        <v>101</v>
      </c>
      <c r="F91" s="347">
        <f>SUM(G91:X91)</f>
        <v>0</v>
      </c>
      <c r="G91" s="348"/>
      <c r="H91" s="22"/>
    </row>
    <row r="92" spans="1:8" ht="30" x14ac:dyDescent="0.25">
      <c r="A92" s="277"/>
      <c r="B92" s="314"/>
      <c r="C92" s="290"/>
      <c r="D92" s="380"/>
      <c r="E92" s="317" t="s">
        <v>85</v>
      </c>
      <c r="F92" s="349">
        <f>SUM(G92:X92)</f>
        <v>0</v>
      </c>
      <c r="G92" s="350"/>
      <c r="H92" s="22"/>
    </row>
    <row r="93" spans="1:8" ht="30.75" customHeight="1" x14ac:dyDescent="0.25">
      <c r="A93" s="277"/>
      <c r="B93" s="314"/>
      <c r="C93" s="290"/>
      <c r="D93" s="325"/>
      <c r="E93" s="317" t="s">
        <v>86</v>
      </c>
      <c r="F93" s="351" t="e">
        <f>+F92/F91</f>
        <v>#DIV/0!</v>
      </c>
      <c r="G93" s="341" t="e">
        <f>G92/G91</f>
        <v>#DIV/0!</v>
      </c>
      <c r="H93" s="22"/>
    </row>
    <row r="94" spans="1:8" ht="17.25" customHeight="1" x14ac:dyDescent="0.25">
      <c r="A94" s="280" t="str">
        <f>IF(B94=F94,"'OK","WARNING")</f>
        <v>WARNING</v>
      </c>
      <c r="B94" s="43">
        <f>+'Wksh 1 - Market Experience'!X38</f>
        <v>282984797.04000002</v>
      </c>
      <c r="C94" s="290"/>
      <c r="D94" s="325"/>
      <c r="E94" s="73" t="s">
        <v>84</v>
      </c>
      <c r="F94" s="344">
        <f>SUM(G94:X94)</f>
        <v>0</v>
      </c>
      <c r="G94" s="345">
        <f>+G87-G91</f>
        <v>0</v>
      </c>
      <c r="H94" s="22"/>
    </row>
    <row r="95" spans="1:8" ht="17.25" customHeight="1" x14ac:dyDescent="0.25">
      <c r="A95" s="277"/>
      <c r="B95" s="43"/>
      <c r="C95" s="290"/>
      <c r="D95" s="325"/>
      <c r="E95" s="73"/>
      <c r="F95" s="287"/>
      <c r="G95" s="39"/>
      <c r="H95" s="22"/>
    </row>
    <row r="96" spans="1:8" ht="17.25" customHeight="1" x14ac:dyDescent="0.25">
      <c r="A96" s="280" t="str">
        <f>IF(B96=F96,"'OK","WARNING")</f>
        <v>'OK</v>
      </c>
      <c r="B96" s="43">
        <f>'Wksh 1 - Market Experience'!X37</f>
        <v>0</v>
      </c>
      <c r="C96" s="290"/>
      <c r="D96" s="325"/>
      <c r="E96" s="73" t="s">
        <v>94</v>
      </c>
      <c r="F96" s="344">
        <f>SUM(G96:X96)</f>
        <v>0</v>
      </c>
      <c r="G96" s="346"/>
      <c r="H96" s="22"/>
    </row>
    <row r="97" spans="1:17" ht="17.25" customHeight="1" x14ac:dyDescent="0.25">
      <c r="A97" s="277"/>
      <c r="B97" s="314"/>
      <c r="C97" s="290"/>
      <c r="D97" s="326"/>
      <c r="E97" s="73" t="s">
        <v>93</v>
      </c>
      <c r="F97" s="344">
        <f>SUM(G97:X97)</f>
        <v>0</v>
      </c>
      <c r="G97" s="346"/>
      <c r="H97" s="22"/>
    </row>
    <row r="98" spans="1:17" x14ac:dyDescent="0.25">
      <c r="A98" s="277"/>
      <c r="B98" s="321"/>
      <c r="C98" s="290"/>
      <c r="D98" s="328"/>
      <c r="E98" s="329"/>
      <c r="F98" s="323"/>
      <c r="G98" s="34"/>
      <c r="H98" s="22"/>
    </row>
    <row r="99" spans="1:17" x14ac:dyDescent="0.25">
      <c r="A99" s="280" t="e">
        <f>IF(B99=F99,"'OK","WARNING")</f>
        <v>#DIV/0!</v>
      </c>
      <c r="B99" s="286">
        <f>+'Wksh 1 - Market Experience'!V38</f>
        <v>561.48</v>
      </c>
      <c r="C99" s="290"/>
      <c r="D99" s="324"/>
      <c r="E99" s="308" t="s">
        <v>87</v>
      </c>
      <c r="F99" s="272" t="e">
        <f>+F94/F82</f>
        <v>#DIV/0!</v>
      </c>
      <c r="G99" s="272" t="e">
        <f>+G94/G82</f>
        <v>#DIV/0!</v>
      </c>
      <c r="H99" s="22"/>
      <c r="J99" s="33"/>
      <c r="K99" s="33"/>
      <c r="L99" s="37"/>
    </row>
    <row r="100" spans="1:17" x14ac:dyDescent="0.25">
      <c r="A100" s="280" t="e">
        <f>IF(B100=F100,"'OK","WARNING")</f>
        <v>#DIV/0!</v>
      </c>
      <c r="B100" s="286">
        <f>+'Wksh 1 - Market Experience'!V32</f>
        <v>762.87687607916052</v>
      </c>
      <c r="C100" s="290"/>
      <c r="D100" s="325"/>
      <c r="E100" s="308" t="s">
        <v>8</v>
      </c>
      <c r="F100" s="272" t="e">
        <f>+F87/F82</f>
        <v>#DIV/0!</v>
      </c>
      <c r="G100" s="272" t="e">
        <f>+G87/G82</f>
        <v>#DIV/0!</v>
      </c>
      <c r="H100" s="22"/>
      <c r="L100" s="37"/>
    </row>
    <row r="101" spans="1:17" x14ac:dyDescent="0.25">
      <c r="A101" s="277"/>
      <c r="B101" s="314"/>
      <c r="C101" s="290"/>
      <c r="D101" s="326"/>
      <c r="E101" s="284" t="s">
        <v>88</v>
      </c>
      <c r="F101" s="272" t="e">
        <f>+F100*F88</f>
        <v>#DIV/0!</v>
      </c>
      <c r="G101" s="272" t="e">
        <f>+G100*G88</f>
        <v>#DIV/0!</v>
      </c>
      <c r="H101" s="22"/>
      <c r="I101" s="33"/>
      <c r="L101" s="37"/>
    </row>
    <row r="102" spans="1:17" x14ac:dyDescent="0.25">
      <c r="G102" s="33"/>
      <c r="H102" s="33"/>
    </row>
    <row r="103" spans="1:17" x14ac:dyDescent="0.25">
      <c r="G103" s="32"/>
      <c r="J103" s="28"/>
      <c r="Q103" s="37"/>
    </row>
    <row r="104" spans="1:17" x14ac:dyDescent="0.25">
      <c r="J104" s="28"/>
      <c r="Q104" s="37"/>
    </row>
    <row r="105" spans="1:17" x14ac:dyDescent="0.25">
      <c r="G105" s="21"/>
      <c r="I105" s="9"/>
      <c r="Q105" s="37"/>
    </row>
    <row r="106" spans="1:17" x14ac:dyDescent="0.25">
      <c r="G106" s="21"/>
      <c r="I106" s="9"/>
      <c r="J106" s="33"/>
    </row>
    <row r="107" spans="1:17" x14ac:dyDescent="0.25">
      <c r="G107" s="21"/>
      <c r="J107" s="37"/>
      <c r="K107" s="37"/>
    </row>
    <row r="108" spans="1:17" x14ac:dyDescent="0.25">
      <c r="G108" s="32"/>
    </row>
    <row r="109" spans="1:17" x14ac:dyDescent="0.25">
      <c r="G109" s="21"/>
    </row>
    <row r="110" spans="1:17" x14ac:dyDescent="0.25">
      <c r="G110" s="21"/>
    </row>
    <row r="111" spans="1:17" x14ac:dyDescent="0.25">
      <c r="G111" s="21"/>
    </row>
    <row r="112" spans="1:17" x14ac:dyDescent="0.25">
      <c r="G112" s="21"/>
    </row>
    <row r="113" spans="7:7" x14ac:dyDescent="0.25">
      <c r="G113" s="32"/>
    </row>
    <row r="114" spans="7:7" x14ac:dyDescent="0.25">
      <c r="G114" s="21"/>
    </row>
    <row r="115" spans="7:7" x14ac:dyDescent="0.25">
      <c r="G115" s="21"/>
    </row>
    <row r="116" spans="7:7" x14ac:dyDescent="0.25">
      <c r="G116" s="21"/>
    </row>
    <row r="117" spans="7:7" x14ac:dyDescent="0.25">
      <c r="G117" s="21"/>
    </row>
    <row r="118" spans="7:7" x14ac:dyDescent="0.25">
      <c r="G118" s="32"/>
    </row>
    <row r="119" spans="7:7" x14ac:dyDescent="0.25">
      <c r="G119" s="21"/>
    </row>
    <row r="120" spans="7:7" x14ac:dyDescent="0.25">
      <c r="G120" s="21"/>
    </row>
    <row r="121" spans="7:7" x14ac:dyDescent="0.25">
      <c r="G121" s="21"/>
    </row>
  </sheetData>
  <sheetProtection algorithmName="SHA-512" hashValue="wIhziGD6jCvVhG8UXz6ncYhk0g27x5D73IefLdyi1egqPqhugLIq1SCJRwOUJYAv7X+yzzLMgETipcRGa6+TRw==" saltValue="Dsfp1XuIuxsOeX+Ug6dK+w==" spinCount="100000" sheet="1" objects="1" scenarios="1"/>
  <mergeCells count="5">
    <mergeCell ref="D55:D60"/>
    <mergeCell ref="D61:D68"/>
    <mergeCell ref="D81:D86"/>
    <mergeCell ref="D87:D92"/>
    <mergeCell ref="I5:K5"/>
  </mergeCells>
  <dataValidations count="48">
    <dataValidation type="list" allowBlank="1" showInputMessage="1" showErrorMessage="1" errorTitle="Value not valid" error="Select a value from the list." promptTitle="Required:" prompt="Select the metal level for the designated plan." sqref="G14">
      <formula1>"Platinum, Gold, Silver, Bronze, Catastrophic, Not Applicable"</formula1>
    </dataValidation>
    <dataValidation type="list" allowBlank="1" showInputMessage="1" showErrorMessage="1" errorTitle="Value not valid" error="Select a value from the list." promptTitle="Required:" prompt="Select plan type from list to represent the specific set of benefits and cost sharing values within a product that produce an actuarial value equal to one of the metal levels permitted under the ACA." sqref="G18">
      <formula1>"HMO, PPO, Indemnity, EPO, POS"</formula1>
    </dataValidation>
    <dataValidation type="list" allowBlank="1" showInputMessage="1" showErrorMessage="1" errorTitle="Value not valid" error="Select a value from the list." promptTitle="Required:" prompt="Select yes or no to indicate whether the plan will be offered inside a State-based or Federally Facilitated Exchange or SHOP, regardless of whether it will also be offered in the outside market." sqref="G21">
      <formula1>"Yes,No"</formula1>
    </dataValidation>
    <dataValidation type="date" operator="greaterThan" allowBlank="1" showInputMessage="1" showErrorMessage="1" errorTitle="Value not valid." error="Effective Date is a required field." promptTitle="Required:" prompt="Enter the effective date of the proposed rate change being submitted." sqref="G25">
      <formula1>40179</formula1>
    </dataValidation>
    <dataValidation type="textLength" allowBlank="1" showInputMessage="1" showErrorMessage="1" errorTitle="Value not valid" error="Enter text up to 100 characters." promptTitle="Required:" prompt="A package of health insurance coverage benefits with a discrete set of rating and pricing methodologies that an issuer offers in a state, for which a rate increase is being requested.  (Enter text up to 100 characters.)" sqref="G12">
      <formula1>0</formula1>
      <formula2>100</formula2>
    </dataValidation>
    <dataValidation type="textLength" allowBlank="1" showInputMessage="1" showErrorMessage="1" errorTitle="Value not valid" error="Enter 10 digit string (5-digit Issuer ID + 2-letter State Abbr + 3-digits)" promptTitle="Required:" prompt="Enter Valid Product ID.  Enter 10 digit string (5-digit Issuer ID + 2-letter State Abbr + 3-digits)" sqref="G13">
      <formula1>10</formula1>
      <formula2>10</formula2>
    </dataValidation>
    <dataValidation type="decimal" allowBlank="1" showInputMessage="1" showErrorMessage="1" errorTitle="Value not valid" error="Enter a decimal value less than 1 with up to 3 decimal points." promptTitle="Required:" prompt="The percentage paid by a health plan of the percentage of the total allowed costs of benefits.  (Enter a decimal value less than 1 with up to 3 decimal points.)" sqref="G15">
      <formula1>0</formula1>
      <formula2>1</formula2>
    </dataValidation>
    <dataValidation type="decimal" operator="greaterThan" allowBlank="1" showInputMessage="1" showErrorMessage="1" errorTitle="Value not valid" error="Enter a decimal value with up to 3 decimal points." promptTitle="Required:" prompt="The amount paid by the health plan as a percentage of the allowed costs for a fixed reference plan.  (Enter a decimal value with up to 3 decimal points.)" sqref="G16">
      <formula1>0</formula1>
    </dataValidation>
    <dataValidation type="textLength" allowBlank="1" showInputMessage="1" showErrorMessage="1" errorTitle="Value not valid" error="Enter text up to 100 characters." promptTitle="Required:" prompt="Enter the marketing name (Plan Name) used when referring to the specific set of benefits and cost sharing values.  (Enter text up to 100 characters.)" sqref="G19">
      <formula1>1</formula1>
      <formula2>100</formula2>
    </dataValidation>
    <dataValidation type="textLength" operator="equal" allowBlank="1" showInputMessage="1" showErrorMessage="1" errorTitle="Value not valid" error="Enter alphanumeric value up to 14 characters." promptTitle="Required:" prompt="Enter a unique identifier (Plan ID) for this plan.  (Enter alphanumeric value up to 14 characters.)" sqref="G20">
      <formula1>14</formula1>
    </dataValidation>
    <dataValidation type="decimal" allowBlank="1" showInputMessage="1" showErrorMessage="1" errorTitle="Value not valid" error="Enter a percentage value between -100% and 100% with up to 2 decimal points." promptTitle="Required:" prompt="Enter the Historical Rate Increase for the Calendar year prior to the effective year as a percentage value between -100% and 100% with up to 2 decimal points." sqref="G24">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2 years prior to the effective year as a percentage value between -100% and 100% with up to 2 decimal points." sqref="G23">
      <formula1>-1</formula1>
      <formula2>1</formula2>
    </dataValidation>
    <dataValidation type="decimal" allowBlank="1" showInputMessage="1" showErrorMessage="1" errorTitle="Value not valid" error="Enter a percentage value between -100% and 100% with up to 2 decimal points." promptTitle="Required:" prompt="Enter the Historical Rate Increase for the Calendar year 3 years prior to the effective year as a percentage value between -100% and 100% with up to 2 decimal points." sqref="G22">
      <formula1>-1</formula1>
      <formula2>1</formula2>
    </dataValidation>
    <dataValidation type="decimal" allowBlank="1" showInputMessage="1" showErrorMessage="1" errorTitle="Value not valid" error="Enter a percentage value greater than or equal to 0 with up to 2 decimal points." promptTitle="Required:" prompt="Enter the average change in premium rates over the rates included in the prior filing for each plan as a percentage value up to 2 decimal points." sqref="G26">
      <formula1>-999</formula1>
      <formula2>2000</formula2>
    </dataValidation>
    <dataValidation operator="greaterThanOrEqual" allowBlank="1" showInputMessage="1" showErrorMessage="1" errorTitle="Value not valid" error="Enter a valid dollar amount greater than or equal to 0." promptTitle="Required:" prompt="Enter the portion of the increase in the premium that corresponds to the risk and profit charges incorporated in the premium rates for the plan in dollars. " sqref="G42"/>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inpatient services for the plan in dollars. " sqref="G34"/>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outpatient services for the plan in dollars. " sqref="G35"/>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ofessional services for the plan in dollars. " sqref="G36"/>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prescription drugs for the plan in dollars. " sqref="G37"/>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in the “other” benefit category for the plan in dollars. " sqref="G38"/>
    <dataValidation operator="greaterThanOrEqual" allowBlank="1" showInputMessage="1" showErrorMessage="1" errorTitle="Value not valid" error="Enter a valid dollar amount greater than or equal to 0." promptTitle="Required:" prompt="Enter the portion of the increase in paid claims that corresponds to benefits provided for services defined under capitation for the plan in dollars." sqref="G39"/>
    <dataValidation operator="greaterThanOrEqual" allowBlank="1" showInputMessage="1" showErrorMessage="1" errorTitle="Value not valid" error="Enter a valid dollar amount greater than or equal to 0." promptTitle="Required:" prompt="Enter the portion of the increase in premium that corresponds to administrative expenses incorporated in the premium rates for the plan in dollars. " sqref="G40"/>
    <dataValidation operator="greaterThanOrEqual" allowBlank="1" showInputMessage="1" showErrorMessage="1" errorTitle="Value not valid" error="Enter a valid dollar amount greater than or equal to 0." promptTitle="Required:" prompt="Enter the portion of the increase in premium that corresponds to the taxes and fees incorporated in the premium rates for the plan in dollars. " sqref="G41"/>
    <dataValidation operator="greaterThanOrEqual" allowBlank="1" showInputMessage="1" showErrorMessage="1" errorTitle="Value not valid" error="Enter a valid dollar amount greater than or equal to 0." promptTitle="Required:" prompt="Enter the expected increase in the member’s cost sharing portion from the period underlying the current rate for the plan to the projected rating period of the plan in dollars." sqref="G44"/>
    <dataValidation type="decimal" operator="greaterThanOrEqual" allowBlank="1" showInputMessage="1" showErrorMessage="1" errorTitle="Value not valid" error="Enter a dollar value greater than or equal to 0." prompt="Enter the average premium rate on a per member basis for each plan for the most recently approved rates in dollars." sqref="G47">
      <formula1>0</formula1>
    </dataValidation>
    <dataValidation type="whole" operator="greaterThanOrEqual" allowBlank="1" showInputMessage="1" showErrorMessage="1" errorTitle="Value not valid" error="Enter a whole number greater than or equal to 0" prompt="Enter the total projected member months.  (Enter a whole number greater than or equal to 0)" sqref="G48">
      <formula1>0</formula1>
    </dataValidation>
    <dataValidation type="decimal" operator="greaterThanOrEqual" allowBlank="1" showInputMessage="1" showErrorMessage="1" errorTitle="Value not valid" error="Enter a dollar amount greater than or equal to 0." promptTitle="Required if Member Months &gt; 0:" prompt="Enter the Plan Adjusted Index Rate for each plan during the experience period as a dollar amount greater than or equal to 0." sqref="G55">
      <formula1>0</formula1>
    </dataValidation>
    <dataValidation type="whole" operator="greaterThanOrEqual" allowBlank="1" showInputMessage="1" showErrorMessage="1" errorTitle="Value not valid" error="Enter a whole number value greater than or equal to 0." prompt="Enter the total member months during the experience period (whole number value greater than or equal to 0)." sqref="G56">
      <formula1>0</formula1>
    </dataValidation>
    <dataValidation type="decimal" allowBlank="1" showInputMessage="1" showErrorMessage="1" errorTitle="Value not valid" error="Enter a percentage with up to 2 decimal points." promptTitle="Required:" prompt="Enter the average change in premium rates over the twelve month period prior to the effective date for the plan as a percentage with up to 2 decimal points." sqref="G27">
      <formula1>-999</formula1>
      <formula2>2000</formula2>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premium that is associated with EHB services in the plan as a percentage greater than zero, with up to two decimal points." sqref="G84">
      <formula1>0</formula1>
    </dataValidation>
    <dataValidation type="decimal" allowBlank="1" showInputMessage="1" showErrorMessage="1" errorTitle="Value not valid" error="Enter a percentage greater than or equal to 0 and lessser than or equal to 1." promptTitle="Required if Member Months &gt; 0:" prompt="Enter the percentage of the total premium for each plan that is associated with state mandated benefits that are not part of the EHB package as a percentage between 0 and 1, with up to two decimal points." sqref="G85">
      <formula1>0</formula1>
      <formula2>1</formula2>
    </dataValidation>
    <dataValidation type="decimal" operator="greaterThanOrEqual" allowBlank="1" showInputMessage="1" showErrorMessage="1" errorTitle="Value not valid" error="Enter a dollar value greater than or equal to 0." promptTitle="Required if Member Months &gt; 0:" prompt="Enter the total allowed claims for the benefit plan with service dates within the experience period as a dollar value greater than or equal to 0. " sqref="G61 G87">
      <formula1>0</formula1>
    </dataValidation>
    <dataValidation type="decimal" allowBlank="1" showInputMessage="1" showErrorMessage="1" errorTitle="Value not valid" error="Enter a percentage greater than or equal to 0 and lesser than or equal to 1." promptTitle="Required if Member Months &gt; 0:" prompt="Enter the percentage of the total allowed claims that are associated with EHB services in each plan during the experience period as a percentage between 0 and 1, with up to 2 decimal places." sqref="G62:G63 G89">
      <formula1>0</formula1>
      <formula2>1</formula2>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91">
      <formula1>ISNUMBER(G$91)</formula1>
    </dataValidation>
    <dataValidation type="decimal" operator="greaterThanOrEqual" allowBlank="1" showInputMessage="1" showErrorMessage="1" errorTitle="Value not valid" error="Enter a dollar value greater than or equal to 0." prompt="Enter the portion of the total dollars that are attributable to HHS during the experience period as a dollar value greater than or equal to 0." sqref="G92">
      <formula1>0</formula1>
    </dataValidation>
    <dataValidation operator="greaterThanOrEqual" allowBlank="1" showInputMessage="1" showErrorMessage="1" errorTitle="Value not valid" error="Enter a dollar value greater than or equal to 0." prompt="Enter the Net amount of Rein as a dollar value. Enter 0 for plans effective on or after January 1, 2017." sqref="G96"/>
    <dataValidation operator="greaterThanOrEqual" allowBlank="1" showInputMessage="1" showErrorMessage="1" errorTitle="Value not valid" error="Enter a dollar value greater than or equal to 0." prompt="Enter the Net amount of Risk Adj. as a dollar value." sqref="G97"/>
    <dataValidation type="decimal" allowBlank="1" showInputMessage="1" showErrorMessage="1" errorTitle="Value not valid" error="Enter a percentage greater than or equal to 0 and lesser than or equal to 1." prompt="Enter the percentage of the total premium that is associated with EHB services in the plan as a percentage between 0 and 1, with up to two decimal points." sqref="G58">
      <formula1>0</formula1>
      <formula2>1</formula2>
    </dataValidation>
    <dataValidation type="decimal" allowBlank="1" showInputMessage="1" showErrorMessage="1" errorTitle="Value not valid" error="Enter a percentage greater than or equal to 0 and lesser than or equal to 1." prompt="Enter the percentage of the total premium for each plan that is associated with state mandated benefits that are not part of the EHB package as a percentage between 0 and 1, with up to two decimal points." sqref="G59">
      <formula1>0</formula1>
      <formula2>1</formula2>
    </dataValidation>
    <dataValidation type="decimal" operator="greaterThanOrEqual" allowBlank="1" showInputMessage="1" showErrorMessage="1" errorTitle="Value not valid" error="Enter a dollar value greater than or equal to 0." prompt="Enter a dollar value greater than or equal to 0." sqref="G66">
      <formula1>0</formula1>
    </dataValidation>
    <dataValidation type="decimal" operator="greaterThan" allowBlank="1" showInputMessage="1" showErrorMessage="1" errorTitle="Value not valid" error="Enter a percentage greater than 0 and lesser than or equal to 1." promptTitle="Required if Member Months &gt; 0:" prompt="Enter the percentage of the total allowed claims that are associated with EHB services in each plan during the experience period as a percentage greater than 0, with up to 2 decimal places." sqref="G88">
      <formula1>0</formula1>
    </dataValidation>
    <dataValidation type="decimal" operator="greaterThanOrEqual" allowBlank="1" showInputMessage="1" showErrorMessage="1" errorTitle="Value not valid" error="Enter a dollar value greater than or equal to 0." promptTitle="Required if Member Months &gt; 0:" prompt="Enter the Plan Adjusted Index Rate as a dollar amount greater than or equal to 0." sqref="G81">
      <formula1>0</formula1>
    </dataValidation>
    <dataValidation type="custom" operator="greaterThanOrEqual" allowBlank="1" showInputMessage="1" showErrorMessage="1" errorTitle="Value not valid" error="Enter a dollar value." promptTitle="Required if Member Months &gt; 0:" prompt="Enter the portion of the allowed claims (as defined on Worksheet 2) that were paid by the insured or other funds for each plan separately during the experience period as a dollar value." sqref="G65">
      <formula1>ISNUMBER(G$65)</formula1>
    </dataValidation>
    <dataValidation type="list" operator="greaterThan" allowBlank="1" showInputMessage="1" showErrorMessage="1" errorTitle="Value not valid" error="Select a value from the list." promptTitle="Required:" prompt="Select the plan category for the designated plan." sqref="G17">
      <formula1>CategoryList</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57">
      <formula1>0</formula1>
    </dataValidation>
    <dataValidation type="decimal" operator="greaterThanOrEqual" allowBlank="1" showInputMessage="1" showErrorMessage="1" errorTitle="Value not valid:" error="Enter a dollar amount greater than or equal to 0." promptTitle="Required if Member Months &gt; 0:" prompt="Enter the Total Premium for each plan during the experience period as a dollar amount greater than or equal to 0." sqref="G83">
      <formula1>0</formula1>
    </dataValidation>
    <dataValidation operator="greaterThanOrEqual" allowBlank="1" showInputMessage="1" showErrorMessage="1" errorTitle="Value not valid" error="Enter a dollar value greater than or equal to 0." prompt="Enter the Net amount of Rein as a dollar value." sqref="G70"/>
    <dataValidation operator="greaterThanOrEqual" allowBlank="1" showInputMessage="1" showErrorMessage="1" errorTitle="Value not valid" error="Enter a dollar value greater than or equal to 0." prompt="Enter the Net amount of Risk Adj. as a dollar value." sqref="G71"/>
  </dataValidations>
  <pageMargins left="0.7" right="0.7" top="0.75" bottom="0.75" header="0.3" footer="0.3"/>
  <pageSetup scale="41" fitToHeight="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211"/>
  <sheetViews>
    <sheetView workbookViewId="0">
      <selection activeCell="A17" sqref="A17"/>
    </sheetView>
  </sheetViews>
  <sheetFormatPr defaultColWidth="107.7109375" defaultRowHeight="11.45" customHeight="1" x14ac:dyDescent="0.25"/>
  <sheetData>
    <row r="1" spans="1:1" ht="11.45" customHeight="1" x14ac:dyDescent="0.25">
      <c r="A1" s="249" t="s">
        <v>165</v>
      </c>
    </row>
    <row r="2" spans="1:1" ht="11.45" customHeight="1" x14ac:dyDescent="0.25">
      <c r="A2" s="249" t="s">
        <v>166</v>
      </c>
    </row>
    <row r="3" spans="1:1" ht="11.45" customHeight="1" x14ac:dyDescent="0.25">
      <c r="A3" s="249" t="s">
        <v>167</v>
      </c>
    </row>
    <row r="4" spans="1:1" ht="11.45" customHeight="1" x14ac:dyDescent="0.25">
      <c r="A4" s="249" t="s">
        <v>168</v>
      </c>
    </row>
    <row r="5" spans="1:1" ht="11.45" customHeight="1" x14ac:dyDescent="0.25">
      <c r="A5" s="249" t="s">
        <v>169</v>
      </c>
    </row>
    <row r="6" spans="1:1" ht="11.45" customHeight="1" x14ac:dyDescent="0.25">
      <c r="A6" s="249" t="s">
        <v>170</v>
      </c>
    </row>
    <row r="7" spans="1:1" ht="11.45" customHeight="1" x14ac:dyDescent="0.25">
      <c r="A7" s="249" t="s">
        <v>171</v>
      </c>
    </row>
    <row r="8" spans="1:1" ht="11.45" customHeight="1" x14ac:dyDescent="0.25">
      <c r="A8" s="249" t="s">
        <v>172</v>
      </c>
    </row>
    <row r="9" spans="1:1" ht="11.45" customHeight="1" x14ac:dyDescent="0.25">
      <c r="A9" s="249" t="s">
        <v>173</v>
      </c>
    </row>
    <row r="10" spans="1:1" ht="11.45" customHeight="1" x14ac:dyDescent="0.25">
      <c r="A10" s="249" t="s">
        <v>174</v>
      </c>
    </row>
    <row r="11" spans="1:1" ht="11.45" customHeight="1" x14ac:dyDescent="0.25">
      <c r="A11" s="249"/>
    </row>
    <row r="12" spans="1:1" ht="11.45" customHeight="1" x14ac:dyDescent="0.25">
      <c r="A12" s="249"/>
    </row>
    <row r="13" spans="1:1" ht="11.45" customHeight="1" x14ac:dyDescent="0.25">
      <c r="A13" s="249"/>
    </row>
    <row r="14" spans="1:1" ht="11.45" customHeight="1" x14ac:dyDescent="0.25">
      <c r="A14" s="249"/>
    </row>
    <row r="15" spans="1:1" ht="11.45" customHeight="1" x14ac:dyDescent="0.25">
      <c r="A15" s="249"/>
    </row>
    <row r="16" spans="1:1" ht="11.45" customHeight="1" x14ac:dyDescent="0.25">
      <c r="A16" s="249"/>
    </row>
    <row r="17" spans="1:1" ht="11.45" customHeight="1" x14ac:dyDescent="0.25">
      <c r="A17" s="249"/>
    </row>
    <row r="18" spans="1:1" ht="11.45" customHeight="1" x14ac:dyDescent="0.25">
      <c r="A18" s="249"/>
    </row>
    <row r="19" spans="1:1" ht="11.45" customHeight="1" x14ac:dyDescent="0.25">
      <c r="A19" s="249"/>
    </row>
    <row r="20" spans="1:1" ht="11.45" customHeight="1" x14ac:dyDescent="0.25">
      <c r="A20" s="249"/>
    </row>
    <row r="21" spans="1:1" ht="11.45" customHeight="1" x14ac:dyDescent="0.25">
      <c r="A21" s="249"/>
    </row>
    <row r="22" spans="1:1" ht="11.45" customHeight="1" x14ac:dyDescent="0.25">
      <c r="A22" s="249"/>
    </row>
    <row r="23" spans="1:1" ht="11.45" customHeight="1" x14ac:dyDescent="0.25">
      <c r="A23" s="249"/>
    </row>
    <row r="24" spans="1:1" ht="11.45" customHeight="1" x14ac:dyDescent="0.25">
      <c r="A24" s="249"/>
    </row>
    <row r="25" spans="1:1" ht="11.45" customHeight="1" x14ac:dyDescent="0.25">
      <c r="A25" s="249"/>
    </row>
    <row r="26" spans="1:1" ht="11.45" customHeight="1" x14ac:dyDescent="0.25">
      <c r="A26" s="249"/>
    </row>
    <row r="27" spans="1:1" ht="11.45" customHeight="1" x14ac:dyDescent="0.25">
      <c r="A27" s="249"/>
    </row>
    <row r="28" spans="1:1" ht="11.45" customHeight="1" x14ac:dyDescent="0.25">
      <c r="A28" s="249"/>
    </row>
    <row r="29" spans="1:1" ht="11.45" customHeight="1" x14ac:dyDescent="0.25">
      <c r="A29" s="249"/>
    </row>
    <row r="30" spans="1:1" ht="11.45" customHeight="1" x14ac:dyDescent="0.25">
      <c r="A30" s="249"/>
    </row>
    <row r="31" spans="1:1" ht="11.45" customHeight="1" x14ac:dyDescent="0.25">
      <c r="A31" s="249"/>
    </row>
    <row r="32" spans="1:1" ht="11.45" customHeight="1" x14ac:dyDescent="0.25">
      <c r="A32" s="249"/>
    </row>
    <row r="33" spans="1:1" ht="11.45" customHeight="1" x14ac:dyDescent="0.25">
      <c r="A33" s="249"/>
    </row>
    <row r="34" spans="1:1" ht="11.45" customHeight="1" x14ac:dyDescent="0.25">
      <c r="A34" s="249"/>
    </row>
    <row r="35" spans="1:1" ht="11.45" customHeight="1" x14ac:dyDescent="0.25">
      <c r="A35" s="249"/>
    </row>
    <row r="36" spans="1:1" ht="11.45" customHeight="1" x14ac:dyDescent="0.25">
      <c r="A36" s="249"/>
    </row>
    <row r="37" spans="1:1" ht="11.45" customHeight="1" x14ac:dyDescent="0.25">
      <c r="A37" s="249"/>
    </row>
    <row r="38" spans="1:1" ht="11.45" customHeight="1" x14ac:dyDescent="0.25">
      <c r="A38" s="249"/>
    </row>
    <row r="39" spans="1:1" ht="11.45" customHeight="1" x14ac:dyDescent="0.25">
      <c r="A39" s="249"/>
    </row>
    <row r="40" spans="1:1" ht="11.45" customHeight="1" x14ac:dyDescent="0.25">
      <c r="A40" s="249"/>
    </row>
    <row r="41" spans="1:1" ht="11.45" customHeight="1" x14ac:dyDescent="0.25">
      <c r="A41" s="249"/>
    </row>
    <row r="42" spans="1:1" ht="11.45" customHeight="1" x14ac:dyDescent="0.25">
      <c r="A42" s="249"/>
    </row>
    <row r="43" spans="1:1" ht="11.45" customHeight="1" x14ac:dyDescent="0.25">
      <c r="A43" s="249"/>
    </row>
    <row r="44" spans="1:1" ht="11.45" customHeight="1" x14ac:dyDescent="0.25">
      <c r="A44" s="249"/>
    </row>
    <row r="45" spans="1:1" ht="11.45" customHeight="1" x14ac:dyDescent="0.25">
      <c r="A45" s="249"/>
    </row>
    <row r="46" spans="1:1" ht="11.45" customHeight="1" x14ac:dyDescent="0.25">
      <c r="A46" s="249"/>
    </row>
    <row r="47" spans="1:1" ht="11.45" customHeight="1" x14ac:dyDescent="0.25">
      <c r="A47" s="249"/>
    </row>
    <row r="48" spans="1:1" ht="11.45" customHeight="1" x14ac:dyDescent="0.25">
      <c r="A48" s="249"/>
    </row>
    <row r="49" spans="1:1" ht="11.45" customHeight="1" x14ac:dyDescent="0.25">
      <c r="A49" s="249"/>
    </row>
    <row r="50" spans="1:1" ht="11.45" customHeight="1" x14ac:dyDescent="0.25">
      <c r="A50" s="249"/>
    </row>
    <row r="51" spans="1:1" ht="11.45" customHeight="1" x14ac:dyDescent="0.25">
      <c r="A51" s="249"/>
    </row>
    <row r="52" spans="1:1" ht="11.45" customHeight="1" x14ac:dyDescent="0.25">
      <c r="A52" s="249"/>
    </row>
    <row r="53" spans="1:1" ht="11.45" customHeight="1" x14ac:dyDescent="0.25">
      <c r="A53" s="249"/>
    </row>
    <row r="54" spans="1:1" ht="11.45" customHeight="1" x14ac:dyDescent="0.25">
      <c r="A54" s="249"/>
    </row>
    <row r="55" spans="1:1" ht="11.45" customHeight="1" x14ac:dyDescent="0.25">
      <c r="A55" s="249"/>
    </row>
    <row r="56" spans="1:1" ht="11.45" customHeight="1" x14ac:dyDescent="0.25">
      <c r="A56" s="249"/>
    </row>
    <row r="57" spans="1:1" ht="11.45" customHeight="1" x14ac:dyDescent="0.25">
      <c r="A57" s="249"/>
    </row>
    <row r="58" spans="1:1" ht="11.45" customHeight="1" x14ac:dyDescent="0.25">
      <c r="A58" s="249"/>
    </row>
    <row r="59" spans="1:1" ht="11.45" customHeight="1" x14ac:dyDescent="0.25">
      <c r="A59" s="249"/>
    </row>
    <row r="60" spans="1:1" ht="11.45" customHeight="1" x14ac:dyDescent="0.25">
      <c r="A60" s="249"/>
    </row>
    <row r="61" spans="1:1" ht="11.45" customHeight="1" x14ac:dyDescent="0.25">
      <c r="A61" s="249"/>
    </row>
    <row r="62" spans="1:1" ht="11.45" customHeight="1" x14ac:dyDescent="0.25">
      <c r="A62" s="249"/>
    </row>
    <row r="63" spans="1:1" ht="11.45" customHeight="1" x14ac:dyDescent="0.25">
      <c r="A63" s="249"/>
    </row>
    <row r="64" spans="1:1" ht="11.45" customHeight="1" x14ac:dyDescent="0.25">
      <c r="A64" s="249"/>
    </row>
    <row r="65" spans="1:1" ht="11.45" customHeight="1" x14ac:dyDescent="0.25">
      <c r="A65" s="249"/>
    </row>
    <row r="66" spans="1:1" ht="11.45" customHeight="1" x14ac:dyDescent="0.25">
      <c r="A66" s="249"/>
    </row>
    <row r="67" spans="1:1" ht="11.45" customHeight="1" x14ac:dyDescent="0.25">
      <c r="A67" s="249"/>
    </row>
    <row r="68" spans="1:1" ht="11.45" customHeight="1" x14ac:dyDescent="0.25">
      <c r="A68" s="249"/>
    </row>
    <row r="69" spans="1:1" ht="11.45" customHeight="1" x14ac:dyDescent="0.25">
      <c r="A69" s="249"/>
    </row>
    <row r="70" spans="1:1" ht="11.45" customHeight="1" x14ac:dyDescent="0.25">
      <c r="A70" s="249"/>
    </row>
    <row r="71" spans="1:1" ht="11.45" customHeight="1" x14ac:dyDescent="0.25">
      <c r="A71" s="249"/>
    </row>
    <row r="72" spans="1:1" ht="11.45" customHeight="1" x14ac:dyDescent="0.25">
      <c r="A72" s="249"/>
    </row>
    <row r="73" spans="1:1" ht="11.45" customHeight="1" x14ac:dyDescent="0.25">
      <c r="A73" s="249"/>
    </row>
    <row r="74" spans="1:1" ht="11.45" customHeight="1" x14ac:dyDescent="0.25">
      <c r="A74" s="249"/>
    </row>
    <row r="75" spans="1:1" ht="11.45" customHeight="1" x14ac:dyDescent="0.25">
      <c r="A75" s="249"/>
    </row>
    <row r="76" spans="1:1" ht="11.45" customHeight="1" x14ac:dyDescent="0.25">
      <c r="A76" s="249"/>
    </row>
    <row r="77" spans="1:1" ht="11.45" customHeight="1" x14ac:dyDescent="0.25">
      <c r="A77" s="249"/>
    </row>
    <row r="78" spans="1:1" ht="11.45" customHeight="1" x14ac:dyDescent="0.25">
      <c r="A78" s="249"/>
    </row>
    <row r="79" spans="1:1" ht="11.45" customHeight="1" x14ac:dyDescent="0.25">
      <c r="A79" s="249"/>
    </row>
    <row r="80" spans="1:1" ht="11.45" customHeight="1" x14ac:dyDescent="0.25">
      <c r="A80" s="249"/>
    </row>
    <row r="81" spans="1:1" ht="11.45" customHeight="1" x14ac:dyDescent="0.25">
      <c r="A81" s="249"/>
    </row>
    <row r="82" spans="1:1" ht="11.45" customHeight="1" x14ac:dyDescent="0.25">
      <c r="A82" s="249"/>
    </row>
    <row r="83" spans="1:1" ht="11.45" customHeight="1" x14ac:dyDescent="0.25">
      <c r="A83" s="249"/>
    </row>
    <row r="84" spans="1:1" ht="11.45" customHeight="1" x14ac:dyDescent="0.25">
      <c r="A84" s="249"/>
    </row>
    <row r="85" spans="1:1" ht="11.45" customHeight="1" x14ac:dyDescent="0.25">
      <c r="A85" s="249"/>
    </row>
    <row r="86" spans="1:1" ht="11.45" customHeight="1" x14ac:dyDescent="0.25">
      <c r="A86" s="249"/>
    </row>
    <row r="87" spans="1:1" ht="11.45" customHeight="1" x14ac:dyDescent="0.25">
      <c r="A87" s="249"/>
    </row>
    <row r="88" spans="1:1" ht="11.45" customHeight="1" x14ac:dyDescent="0.25">
      <c r="A88" s="249"/>
    </row>
    <row r="89" spans="1:1" ht="11.45" customHeight="1" x14ac:dyDescent="0.25">
      <c r="A89" s="249"/>
    </row>
    <row r="90" spans="1:1" ht="11.45" customHeight="1" x14ac:dyDescent="0.25">
      <c r="A90" s="249"/>
    </row>
    <row r="91" spans="1:1" ht="11.45" customHeight="1" x14ac:dyDescent="0.25">
      <c r="A91" s="249"/>
    </row>
    <row r="92" spans="1:1" ht="11.45" customHeight="1" x14ac:dyDescent="0.25">
      <c r="A92" s="249"/>
    </row>
    <row r="93" spans="1:1" ht="11.45" customHeight="1" x14ac:dyDescent="0.25">
      <c r="A93" s="249"/>
    </row>
    <row r="94" spans="1:1" ht="11.45" customHeight="1" x14ac:dyDescent="0.25">
      <c r="A94" s="249"/>
    </row>
    <row r="95" spans="1:1" ht="11.45" customHeight="1" x14ac:dyDescent="0.25">
      <c r="A95" s="249"/>
    </row>
    <row r="96" spans="1:1" ht="11.45" customHeight="1" x14ac:dyDescent="0.25">
      <c r="A96" s="249"/>
    </row>
    <row r="97" spans="1:1" ht="11.45" customHeight="1" x14ac:dyDescent="0.25">
      <c r="A97" s="249"/>
    </row>
    <row r="98" spans="1:1" ht="11.45" customHeight="1" x14ac:dyDescent="0.25">
      <c r="A98" s="249"/>
    </row>
    <row r="99" spans="1:1" ht="11.45" customHeight="1" x14ac:dyDescent="0.25">
      <c r="A99" s="249"/>
    </row>
    <row r="100" spans="1:1" ht="11.45" customHeight="1" x14ac:dyDescent="0.25">
      <c r="A100" s="249"/>
    </row>
    <row r="101" spans="1:1" ht="11.45" customHeight="1" x14ac:dyDescent="0.25">
      <c r="A101" s="249"/>
    </row>
    <row r="102" spans="1:1" ht="11.45" customHeight="1" x14ac:dyDescent="0.25">
      <c r="A102" s="249"/>
    </row>
    <row r="103" spans="1:1" ht="11.45" customHeight="1" x14ac:dyDescent="0.25">
      <c r="A103" s="249"/>
    </row>
    <row r="104" spans="1:1" ht="11.45" customHeight="1" x14ac:dyDescent="0.25">
      <c r="A104" s="249"/>
    </row>
    <row r="105" spans="1:1" ht="11.45" customHeight="1" x14ac:dyDescent="0.25">
      <c r="A105" s="249"/>
    </row>
    <row r="106" spans="1:1" ht="11.45" customHeight="1" x14ac:dyDescent="0.25">
      <c r="A106" s="249"/>
    </row>
    <row r="107" spans="1:1" ht="11.45" customHeight="1" x14ac:dyDescent="0.25">
      <c r="A107" s="249"/>
    </row>
    <row r="108" spans="1:1" ht="11.45" customHeight="1" x14ac:dyDescent="0.25">
      <c r="A108" s="249"/>
    </row>
    <row r="109" spans="1:1" ht="11.45" customHeight="1" x14ac:dyDescent="0.25">
      <c r="A109" s="249"/>
    </row>
    <row r="110" spans="1:1" ht="11.45" customHeight="1" x14ac:dyDescent="0.25">
      <c r="A110" s="249"/>
    </row>
    <row r="111" spans="1:1" ht="11.45" customHeight="1" x14ac:dyDescent="0.25">
      <c r="A111" s="249"/>
    </row>
    <row r="112" spans="1:1" ht="11.45" customHeight="1" x14ac:dyDescent="0.25">
      <c r="A112" s="249"/>
    </row>
    <row r="113" spans="1:1" ht="11.45" customHeight="1" x14ac:dyDescent="0.25">
      <c r="A113" s="249"/>
    </row>
    <row r="114" spans="1:1" ht="11.45" customHeight="1" x14ac:dyDescent="0.25">
      <c r="A114" s="249"/>
    </row>
    <row r="115" spans="1:1" ht="11.45" customHeight="1" x14ac:dyDescent="0.25">
      <c r="A115" s="249"/>
    </row>
    <row r="116" spans="1:1" ht="11.45" customHeight="1" x14ac:dyDescent="0.25">
      <c r="A116" s="249"/>
    </row>
    <row r="117" spans="1:1" ht="11.45" customHeight="1" x14ac:dyDescent="0.25">
      <c r="A117" s="249"/>
    </row>
    <row r="118" spans="1:1" ht="11.45" customHeight="1" x14ac:dyDescent="0.25">
      <c r="A118" s="249"/>
    </row>
    <row r="119" spans="1:1" ht="11.45" customHeight="1" x14ac:dyDescent="0.25">
      <c r="A119" s="249"/>
    </row>
    <row r="120" spans="1:1" ht="11.45" customHeight="1" x14ac:dyDescent="0.25">
      <c r="A120" s="249"/>
    </row>
    <row r="121" spans="1:1" ht="11.45" customHeight="1" x14ac:dyDescent="0.25">
      <c r="A121" s="249"/>
    </row>
    <row r="122" spans="1:1" ht="11.45" customHeight="1" x14ac:dyDescent="0.25">
      <c r="A122" s="249"/>
    </row>
    <row r="123" spans="1:1" ht="11.45" customHeight="1" x14ac:dyDescent="0.25">
      <c r="A123" s="249"/>
    </row>
    <row r="124" spans="1:1" ht="11.45" customHeight="1" x14ac:dyDescent="0.25">
      <c r="A124" s="249"/>
    </row>
    <row r="125" spans="1:1" ht="11.45" customHeight="1" x14ac:dyDescent="0.25">
      <c r="A125" s="249"/>
    </row>
    <row r="126" spans="1:1" ht="11.45" customHeight="1" x14ac:dyDescent="0.25">
      <c r="A126" s="249"/>
    </row>
    <row r="127" spans="1:1" ht="11.45" customHeight="1" x14ac:dyDescent="0.25">
      <c r="A127" s="249"/>
    </row>
    <row r="128" spans="1:1" ht="11.45" customHeight="1" x14ac:dyDescent="0.25">
      <c r="A128" s="249"/>
    </row>
    <row r="129" spans="1:1" ht="11.45" customHeight="1" x14ac:dyDescent="0.25">
      <c r="A129" s="249"/>
    </row>
    <row r="130" spans="1:1" ht="11.45" customHeight="1" x14ac:dyDescent="0.25">
      <c r="A130" s="249"/>
    </row>
    <row r="131" spans="1:1" ht="11.45" customHeight="1" x14ac:dyDescent="0.25">
      <c r="A131" s="249"/>
    </row>
    <row r="132" spans="1:1" ht="11.45" customHeight="1" x14ac:dyDescent="0.25">
      <c r="A132" s="249"/>
    </row>
    <row r="133" spans="1:1" ht="11.45" customHeight="1" x14ac:dyDescent="0.25">
      <c r="A133" s="249"/>
    </row>
    <row r="134" spans="1:1" ht="11.45" customHeight="1" x14ac:dyDescent="0.25">
      <c r="A134" s="249"/>
    </row>
    <row r="135" spans="1:1" ht="11.45" customHeight="1" x14ac:dyDescent="0.25">
      <c r="A135" s="249"/>
    </row>
    <row r="136" spans="1:1" ht="11.45" customHeight="1" x14ac:dyDescent="0.25">
      <c r="A136" s="249"/>
    </row>
    <row r="137" spans="1:1" ht="11.45" customHeight="1" x14ac:dyDescent="0.25">
      <c r="A137" s="249"/>
    </row>
    <row r="138" spans="1:1" ht="11.45" customHeight="1" x14ac:dyDescent="0.25">
      <c r="A138" s="249"/>
    </row>
    <row r="139" spans="1:1" ht="11.45" customHeight="1" x14ac:dyDescent="0.25">
      <c r="A139" s="249"/>
    </row>
    <row r="140" spans="1:1" ht="11.45" customHeight="1" x14ac:dyDescent="0.25">
      <c r="A140" s="249"/>
    </row>
    <row r="141" spans="1:1" ht="11.45" customHeight="1" x14ac:dyDescent="0.25">
      <c r="A141" s="249"/>
    </row>
    <row r="142" spans="1:1" ht="11.45" customHeight="1" x14ac:dyDescent="0.25">
      <c r="A142" s="249"/>
    </row>
    <row r="143" spans="1:1" ht="11.45" customHeight="1" x14ac:dyDescent="0.25">
      <c r="A143" s="249"/>
    </row>
    <row r="144" spans="1:1" ht="11.45" customHeight="1" x14ac:dyDescent="0.25">
      <c r="A144" s="249"/>
    </row>
    <row r="145" spans="1:1" ht="11.45" customHeight="1" x14ac:dyDescent="0.25">
      <c r="A145" s="249"/>
    </row>
    <row r="146" spans="1:1" ht="11.45" customHeight="1" x14ac:dyDescent="0.25">
      <c r="A146" s="249"/>
    </row>
    <row r="147" spans="1:1" ht="11.45" customHeight="1" x14ac:dyDescent="0.25">
      <c r="A147" s="249"/>
    </row>
    <row r="148" spans="1:1" ht="11.45" customHeight="1" x14ac:dyDescent="0.25">
      <c r="A148" s="249"/>
    </row>
    <row r="149" spans="1:1" ht="11.45" customHeight="1" x14ac:dyDescent="0.25">
      <c r="A149" s="249"/>
    </row>
    <row r="150" spans="1:1" ht="11.45" customHeight="1" x14ac:dyDescent="0.25">
      <c r="A150" s="249"/>
    </row>
    <row r="151" spans="1:1" ht="11.45" customHeight="1" x14ac:dyDescent="0.25">
      <c r="A151" s="249"/>
    </row>
    <row r="152" spans="1:1" ht="11.45" customHeight="1" x14ac:dyDescent="0.25">
      <c r="A152" s="249"/>
    </row>
    <row r="153" spans="1:1" ht="11.45" customHeight="1" x14ac:dyDescent="0.25">
      <c r="A153" s="249"/>
    </row>
    <row r="154" spans="1:1" ht="11.45" customHeight="1" x14ac:dyDescent="0.25">
      <c r="A154" s="249"/>
    </row>
    <row r="155" spans="1:1" ht="11.45" customHeight="1" x14ac:dyDescent="0.25">
      <c r="A155" s="249"/>
    </row>
    <row r="156" spans="1:1" ht="11.45" customHeight="1" x14ac:dyDescent="0.25">
      <c r="A156" s="249"/>
    </row>
    <row r="157" spans="1:1" ht="11.45" customHeight="1" x14ac:dyDescent="0.25">
      <c r="A157" s="249"/>
    </row>
    <row r="158" spans="1:1" ht="11.45" customHeight="1" x14ac:dyDescent="0.25">
      <c r="A158" s="249"/>
    </row>
    <row r="159" spans="1:1" ht="11.45" customHeight="1" x14ac:dyDescent="0.25">
      <c r="A159" s="249"/>
    </row>
    <row r="160" spans="1:1" ht="11.45" customHeight="1" x14ac:dyDescent="0.25">
      <c r="A160" s="249"/>
    </row>
    <row r="161" spans="1:1" ht="11.45" customHeight="1" x14ac:dyDescent="0.25">
      <c r="A161" s="249"/>
    </row>
    <row r="162" spans="1:1" ht="11.45" customHeight="1" x14ac:dyDescent="0.25">
      <c r="A162" s="249"/>
    </row>
    <row r="163" spans="1:1" ht="11.45" customHeight="1" x14ac:dyDescent="0.25">
      <c r="A163" s="249"/>
    </row>
    <row r="164" spans="1:1" ht="11.45" customHeight="1" x14ac:dyDescent="0.25">
      <c r="A164" s="249"/>
    </row>
    <row r="165" spans="1:1" ht="11.45" customHeight="1" x14ac:dyDescent="0.25">
      <c r="A165" s="249"/>
    </row>
    <row r="166" spans="1:1" ht="11.45" customHeight="1" x14ac:dyDescent="0.25">
      <c r="A166" s="249"/>
    </row>
    <row r="167" spans="1:1" ht="11.45" customHeight="1" x14ac:dyDescent="0.25">
      <c r="A167" s="249"/>
    </row>
    <row r="168" spans="1:1" ht="11.45" customHeight="1" x14ac:dyDescent="0.25">
      <c r="A168" s="249"/>
    </row>
    <row r="169" spans="1:1" ht="11.45" customHeight="1" x14ac:dyDescent="0.25">
      <c r="A169" s="249"/>
    </row>
    <row r="170" spans="1:1" ht="11.45" customHeight="1" x14ac:dyDescent="0.25">
      <c r="A170" s="249"/>
    </row>
    <row r="171" spans="1:1" ht="11.45" customHeight="1" x14ac:dyDescent="0.25">
      <c r="A171" s="249"/>
    </row>
    <row r="172" spans="1:1" ht="11.45" customHeight="1" x14ac:dyDescent="0.25">
      <c r="A172" s="249"/>
    </row>
    <row r="173" spans="1:1" ht="11.45" customHeight="1" x14ac:dyDescent="0.25">
      <c r="A173" s="249"/>
    </row>
    <row r="174" spans="1:1" ht="11.45" customHeight="1" x14ac:dyDescent="0.25">
      <c r="A174" s="249"/>
    </row>
    <row r="175" spans="1:1" ht="11.45" customHeight="1" x14ac:dyDescent="0.25">
      <c r="A175" s="249"/>
    </row>
    <row r="176" spans="1:1" ht="11.45" customHeight="1" x14ac:dyDescent="0.25">
      <c r="A176" s="249"/>
    </row>
    <row r="177" spans="1:1" ht="11.45" customHeight="1" x14ac:dyDescent="0.25">
      <c r="A177" s="249"/>
    </row>
    <row r="178" spans="1:1" ht="11.45" customHeight="1" x14ac:dyDescent="0.25">
      <c r="A178" s="249"/>
    </row>
    <row r="179" spans="1:1" ht="11.45" customHeight="1" x14ac:dyDescent="0.25">
      <c r="A179" s="249"/>
    </row>
    <row r="180" spans="1:1" ht="11.45" customHeight="1" x14ac:dyDescent="0.25">
      <c r="A180" s="249"/>
    </row>
    <row r="181" spans="1:1" ht="11.45" customHeight="1" x14ac:dyDescent="0.25">
      <c r="A181" s="249"/>
    </row>
    <row r="182" spans="1:1" ht="11.45" customHeight="1" x14ac:dyDescent="0.25">
      <c r="A182" s="249"/>
    </row>
    <row r="183" spans="1:1" ht="11.45" customHeight="1" x14ac:dyDescent="0.25">
      <c r="A183" s="249"/>
    </row>
    <row r="184" spans="1:1" ht="11.45" customHeight="1" x14ac:dyDescent="0.25">
      <c r="A184" s="249"/>
    </row>
    <row r="185" spans="1:1" ht="11.45" customHeight="1" x14ac:dyDescent="0.25">
      <c r="A185" s="249"/>
    </row>
    <row r="186" spans="1:1" ht="11.45" customHeight="1" x14ac:dyDescent="0.25">
      <c r="A186" s="249"/>
    </row>
    <row r="187" spans="1:1" ht="11.45" customHeight="1" x14ac:dyDescent="0.25">
      <c r="A187" s="249"/>
    </row>
    <row r="188" spans="1:1" ht="11.45" customHeight="1" x14ac:dyDescent="0.25">
      <c r="A188" s="249"/>
    </row>
    <row r="189" spans="1:1" ht="11.45" customHeight="1" x14ac:dyDescent="0.25">
      <c r="A189" s="249"/>
    </row>
    <row r="190" spans="1:1" ht="11.45" customHeight="1" x14ac:dyDescent="0.25">
      <c r="A190" s="249"/>
    </row>
    <row r="191" spans="1:1" ht="11.45" customHeight="1" x14ac:dyDescent="0.25">
      <c r="A191" s="249"/>
    </row>
    <row r="192" spans="1:1" ht="11.45" customHeight="1" x14ac:dyDescent="0.25">
      <c r="A192" s="249"/>
    </row>
    <row r="193" spans="1:1" ht="11.45" customHeight="1" x14ac:dyDescent="0.25">
      <c r="A193" s="249"/>
    </row>
    <row r="194" spans="1:1" ht="11.45" customHeight="1" x14ac:dyDescent="0.25">
      <c r="A194" s="249"/>
    </row>
    <row r="195" spans="1:1" ht="11.45" customHeight="1" x14ac:dyDescent="0.25">
      <c r="A195" s="249"/>
    </row>
    <row r="196" spans="1:1" ht="11.45" customHeight="1" x14ac:dyDescent="0.25">
      <c r="A196" s="249"/>
    </row>
    <row r="197" spans="1:1" ht="11.45" customHeight="1" x14ac:dyDescent="0.25">
      <c r="A197" s="249"/>
    </row>
    <row r="198" spans="1:1" ht="11.45" customHeight="1" x14ac:dyDescent="0.25">
      <c r="A198" s="249"/>
    </row>
    <row r="199" spans="1:1" ht="11.45" customHeight="1" x14ac:dyDescent="0.25">
      <c r="A199" s="249"/>
    </row>
    <row r="200" spans="1:1" ht="11.45" customHeight="1" x14ac:dyDescent="0.25">
      <c r="A200" s="249"/>
    </row>
    <row r="201" spans="1:1" ht="11.45" customHeight="1" x14ac:dyDescent="0.25">
      <c r="A201" s="249"/>
    </row>
    <row r="202" spans="1:1" ht="11.45" customHeight="1" x14ac:dyDescent="0.25">
      <c r="A202" s="249"/>
    </row>
    <row r="203" spans="1:1" ht="11.45" customHeight="1" x14ac:dyDescent="0.25">
      <c r="A203" s="249"/>
    </row>
    <row r="204" spans="1:1" ht="11.45" customHeight="1" x14ac:dyDescent="0.25">
      <c r="A204" s="249"/>
    </row>
    <row r="205" spans="1:1" ht="11.45" customHeight="1" x14ac:dyDescent="0.25">
      <c r="A205" s="249"/>
    </row>
    <row r="206" spans="1:1" ht="11.45" customHeight="1" x14ac:dyDescent="0.25">
      <c r="A206" s="249"/>
    </row>
    <row r="207" spans="1:1" ht="11.45" customHeight="1" x14ac:dyDescent="0.25">
      <c r="A207" s="249"/>
    </row>
    <row r="208" spans="1:1" ht="11.45" customHeight="1" x14ac:dyDescent="0.25">
      <c r="A208" s="249"/>
    </row>
    <row r="209" spans="1:1" ht="11.45" customHeight="1" x14ac:dyDescent="0.25">
      <c r="A209" s="249"/>
    </row>
    <row r="210" spans="1:1" ht="11.45" customHeight="1" x14ac:dyDescent="0.25">
      <c r="A210" s="249"/>
    </row>
    <row r="211" spans="1:1" ht="11.45" customHeight="1" x14ac:dyDescent="0.25">
      <c r="A211" s="249"/>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LongProperties xmlns="http://schemas.microsoft.com/office/2006/metadata/long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9CEDA8A49605344818C4A18FB39001A" ma:contentTypeVersion="7" ma:contentTypeDescription="Create a new document." ma:contentTypeScope="" ma:versionID="a7b04a5db222da1138aa95159e958862">
  <xsd:schema xmlns:xsd="http://www.w3.org/2001/XMLSchema" xmlns:xs="http://www.w3.org/2001/XMLSchema" xmlns:p="http://schemas.microsoft.com/office/2006/metadata/properties" xmlns:ns1="http://schemas.microsoft.com/sharepoint/v3" xmlns:ns2="280e8d07-9461-4c4e-895a-3eca43e3694b" xmlns:ns3="9c6a2b74-e026-42b8-a021-582d892bcfcc" targetNamespace="http://schemas.microsoft.com/office/2006/metadata/properties" ma:root="true" ma:fieldsID="e835542a505cb900f382ab06ecd42b46" ns1:_="" ns2:_="" ns3:_="">
    <xsd:import namespace="http://schemas.microsoft.com/sharepoint/v3"/>
    <xsd:import namespace="280e8d07-9461-4c4e-895a-3eca43e3694b"/>
    <xsd:import namespace="9c6a2b74-e026-42b8-a021-582d892bcfcc"/>
    <xsd:element name="properties">
      <xsd:complexType>
        <xsd:sequence>
          <xsd:element name="documentManagement">
            <xsd:complexType>
              <xsd:all>
                <xsd:element ref="ns1:PublishingStartDate" minOccurs="0"/>
                <xsd:element ref="ns1:PublishingExpirationDate" minOccurs="0"/>
                <xsd:element ref="ns2:SharedWithUsers" minOccurs="0"/>
                <xsd:element ref="ns3:SharedWithDetails" minOccurs="0"/>
                <xsd:element ref="ns3:LastSharedByUser" minOccurs="0"/>
                <xsd:element ref="ns3:LastSharedByTim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PublishingStartDate" ma:index="8" nillable="true" ma:displayName="Scheduling Start Date" ma:description="Scheduling Start Date is a site column created by the Publishing feature. It is used to specify the date and time on which this page will first appear to site visitors." ma:hidden="true" ma:internalName="PublishingStartDate" ma:readOnly="false">
      <xsd:simpleType>
        <xsd:restriction base="dms:Unknown"/>
      </xsd:simpleType>
    </xsd:element>
    <xsd:element name="PublishingExpirationDate" ma:index="9" nillable="true" ma:displayName="Scheduling End Date" ma:description="Scheduling End Date is a site column created by the Publishing feature. It is used to specify the date and time on which this page will no longer appear to site visitors." ma:hidden="true" ma:internalName="PublishingExpirationDate" ma:readOnly="fals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80e8d07-9461-4c4e-895a-3eca43e3694b" elementFormDefault="qualified">
    <xsd:import namespace="http://schemas.microsoft.com/office/2006/documentManagement/types"/>
    <xsd:import namespace="http://schemas.microsoft.com/office/infopath/2007/PartnerControls"/>
    <xsd:element name="SharedWithUsers" ma:index="10"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9c6a2b74-e026-42b8-a021-582d892bcfcc" elementFormDefault="qualified">
    <xsd:import namespace="http://schemas.microsoft.com/office/2006/documentManagement/types"/>
    <xsd:import namespace="http://schemas.microsoft.com/office/infopath/2007/PartnerControls"/>
    <xsd:element name="SharedWithDetails" ma:index="11" nillable="true" ma:displayName="Shared With Details" ma:description="" ma:internalName="SharedWithDetails" ma:readOnly="true">
      <xsd:simpleType>
        <xsd:restriction base="dms:Note">
          <xsd:maxLength value="255"/>
        </xsd:restriction>
      </xsd:simpleType>
    </xsd:element>
    <xsd:element name="LastSharedByUser" ma:index="12" nillable="true" ma:displayName="Last Shared By User" ma:description="" ma:internalName="LastSharedByUser" ma:readOnly="true">
      <xsd:simpleType>
        <xsd:restriction base="dms:Note">
          <xsd:maxLength value="255"/>
        </xsd:restriction>
      </xsd:simpleType>
    </xsd:element>
    <xsd:element name="LastSharedByTime" ma:index="13" nillable="true" ma:displayName="Last Shared By Time" ma:description="" ma:internalName="LastSharedByTime" ma:readOnly="true">
      <xsd:simpleType>
        <xsd:restriction base="dms:DateTim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ublishingExpirationDate xmlns="http://schemas.microsoft.com/sharepoint/v3" xsi:nil="true"/>
    <PublishingStartDate xmlns="http://schemas.microsoft.com/sharepoint/v3"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2.xml><?xml version="1.0" encoding="utf-8"?>
<ds:datastoreItem xmlns:ds="http://schemas.openxmlformats.org/officeDocument/2006/customXml" ds:itemID="{B1EA8EA1-A1D4-4703-A4E3-70BD6633AE1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280e8d07-9461-4c4e-895a-3eca43e3694b"/>
    <ds:schemaRef ds:uri="9c6a2b74-e026-42b8-a021-582d892bcfcc"/>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8BA26A6A-6337-4ED7-A649-960EFD22D054}">
  <ds:schemaRefs>
    <ds:schemaRef ds:uri="http://purl.org/dc/terms/"/>
    <ds:schemaRef ds:uri="http://schemas.microsoft.com/office/2006/metadata/properties"/>
    <ds:schemaRef ds:uri="http://purl.org/dc/dcmitype/"/>
    <ds:schemaRef ds:uri="9c6a2b74-e026-42b8-a021-582d892bcfcc"/>
    <ds:schemaRef ds:uri="http://schemas.openxmlformats.org/package/2006/metadata/core-properties"/>
    <ds:schemaRef ds:uri="http://purl.org/dc/elements/1.1/"/>
    <ds:schemaRef ds:uri="http://www.w3.org/XML/1998/namespace"/>
    <ds:schemaRef ds:uri="http://schemas.microsoft.com/office/2006/documentManagement/types"/>
    <ds:schemaRef ds:uri="http://schemas.microsoft.com/office/infopath/2007/PartnerControls"/>
    <ds:schemaRef ds:uri="280e8d07-9461-4c4e-895a-3eca43e3694b"/>
    <ds:schemaRef ds:uri="http://schemas.microsoft.com/sharepoint/v3"/>
  </ds:schemaRefs>
</ds:datastoreItem>
</file>

<file path=customXml/itemProps4.xml><?xml version="1.0" encoding="utf-8"?>
<ds:datastoreItem xmlns:ds="http://schemas.openxmlformats.org/officeDocument/2006/customXml" ds:itemID="{B2B381E5-0FF6-4BCA-B6C5-7880D89364CE}">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11</vt:i4>
      </vt:variant>
    </vt:vector>
  </HeadingPairs>
  <TitlesOfParts>
    <vt:vector size="15" baseType="lpstr">
      <vt:lpstr>Wksh 1 - Market Experience</vt:lpstr>
      <vt:lpstr>Wksh 2 - Plan Product Info</vt:lpstr>
      <vt:lpstr>PlanTemplate</vt:lpstr>
      <vt:lpstr>XMLOutput</vt:lpstr>
      <vt:lpstr>CategoryList</vt:lpstr>
      <vt:lpstr>DataEntryBlock</vt:lpstr>
      <vt:lpstr>FormulaBlock</vt:lpstr>
      <vt:lpstr>PlanTemplate!Print_Area</vt:lpstr>
      <vt:lpstr>'Wksh 1 - Market Experience'!Print_Area</vt:lpstr>
      <vt:lpstr>'Wksh 2 - Plan Product Info'!Print_Area</vt:lpstr>
      <vt:lpstr>StateList</vt:lpstr>
      <vt:lpstr>Util_No_ADB</vt:lpstr>
      <vt:lpstr>Util_No_ADP</vt:lpstr>
      <vt:lpstr>Util_No_ADPB</vt:lpstr>
      <vt:lpstr>Util_No_PB</vt:lpstr>
    </vt:vector>
  </TitlesOfParts>
  <Company>MMC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Unified Rate Review Template</dc:title>
  <dc:subject>Unified Rate Review</dc:subject>
  <dc:creator>Accenture Federal Services</dc:creator>
  <cp:keywords>Template, Unified, Rate, Review</cp:keywords>
  <dc:description>Version 1.6</dc:description>
  <cp:lastModifiedBy>Anthem Associate</cp:lastModifiedBy>
  <cp:lastPrinted>2013-03-05T21:55:11Z</cp:lastPrinted>
  <dcterms:created xsi:type="dcterms:W3CDTF">2012-02-03T16:54:29Z</dcterms:created>
  <dcterms:modified xsi:type="dcterms:W3CDTF">2017-07-10T21:05:01Z</dcterms:modified>
  <cp:contentStatus>Version 1.6</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0x010100C9CEDA8A49605344818C4A18FB39001A</vt:lpwstr>
  </property>
  <property fmtid="{D5CDD505-2E9C-101B-9397-08002B2CF9AE}" pid="4" name="ContentType">
    <vt:lpwstr>Document</vt:lpwstr>
  </property>
  <property fmtid="{D5CDD505-2E9C-101B-9397-08002B2CF9AE}" pid="5" name="Language">
    <vt:lpwstr>English</vt:lpwstr>
  </property>
</Properties>
</file>