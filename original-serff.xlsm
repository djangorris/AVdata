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S:\Kpmktdev.old\Review\DOI &amp; Legal\CO-Filings\DIRECT PAY Filings\2018.01\Nongrandfathered\Submission Materials\"/>
    </mc:Choice>
  </mc:AlternateContent>
  <bookViews>
    <workbookView xWindow="120" yWindow="588" windowWidth="12120" windowHeight="4356"/>
  </bookViews>
  <sheets>
    <sheet name="Wksh 1 - Market Experience" sheetId="1" r:id="rId1"/>
    <sheet name="Wksh 2 - Plan Product Info" sheetId="13" r:id="rId2"/>
    <sheet name="PlanTemplate" sheetId="15" state="hidden" r:id="rId3"/>
    <sheet name="XMLOutput" sheetId="17" state="hidden" r:id="rId4"/>
  </sheets>
  <functionGroups builtInGroupCount="18"/>
  <definedNames>
    <definedName name="CategoryList">PlanTemplate!$O$12:$O$14</definedName>
    <definedName name="DataEntryBlock">PlanTemplate!$G$12:$G$101</definedName>
    <definedName name="FormulaBlock">PlanTemplate!$F$34:$F$101</definedName>
    <definedName name="_xlnm.Print_Area" localSheetId="2">PlanTemplate!$E$1:$AA$101</definedName>
    <definedName name="_xlnm.Print_Area" localSheetId="0">'Wksh 1 - Market Experience'!$A$1:$Y$50</definedName>
    <definedName name="_xlnm.Print_Area" localSheetId="1">'Wksh 2 - Plan Product Info'!$E$1:$Z$97</definedName>
    <definedName name="ProductYears">#REF!</definedName>
    <definedName name="ProductYearsSG">#REF!</definedName>
    <definedName name="StateList">PlanTemplate!$N$12:$N$67</definedName>
    <definedName name="Util_No_ADB">PlanTemplate!$K$12:$K$15</definedName>
    <definedName name="Util_No_ADP">PlanTemplate!$J$12:$J$15</definedName>
    <definedName name="Util_No_ADPB">PlanTemplate!$L$12:$L$14</definedName>
    <definedName name="Util_No_PB">PlanTemplate!$M$12:$M$16</definedName>
  </definedNames>
  <calcPr calcId="171027"/>
</workbook>
</file>

<file path=xl/calcChain.xml><?xml version="1.0" encoding="utf-8"?>
<calcChain xmlns="http://schemas.openxmlformats.org/spreadsheetml/2006/main">
  <c r="F97" i="13" l="1"/>
  <c r="F96" i="13"/>
  <c r="F92" i="13"/>
  <c r="F93" i="13" s="1"/>
  <c r="F91" i="13"/>
  <c r="F87" i="13"/>
  <c r="F89" i="13" s="1"/>
  <c r="F83" i="13"/>
  <c r="F84" i="13" s="1"/>
  <c r="F71" i="13"/>
  <c r="F70" i="13"/>
  <c r="F66" i="13"/>
  <c r="F65" i="13"/>
  <c r="F61" i="13"/>
  <c r="F63" i="13" s="1"/>
  <c r="F57" i="13"/>
  <c r="F59" i="13" s="1"/>
  <c r="F56" i="13"/>
  <c r="F42" i="13" s="1"/>
  <c r="F55" i="13"/>
  <c r="F54" i="13"/>
  <c r="F80" i="13" s="1"/>
  <c r="F48" i="13"/>
  <c r="F47" i="13"/>
  <c r="F44" i="13"/>
  <c r="F41" i="13"/>
  <c r="F40" i="13"/>
  <c r="F39" i="13"/>
  <c r="F38" i="13"/>
  <c r="F37" i="13"/>
  <c r="F36" i="13"/>
  <c r="F35" i="13"/>
  <c r="F34" i="13"/>
  <c r="BO29" i="13" a="1"/>
  <c r="BO29" i="13" s="1"/>
  <c r="DV94" i="13"/>
  <c r="DV93" i="13"/>
  <c r="DV90" i="13"/>
  <c r="DV86" i="13"/>
  <c r="DV82" i="13"/>
  <c r="DV100" i="13" s="1"/>
  <c r="DV101" i="13" s="1"/>
  <c r="DV75" i="13"/>
  <c r="DV74" i="13"/>
  <c r="DV68" i="13"/>
  <c r="DV73" i="13" s="1"/>
  <c r="DV67" i="13"/>
  <c r="DV64" i="13"/>
  <c r="DV60" i="13"/>
  <c r="DV43" i="13"/>
  <c r="DV33" i="13"/>
  <c r="DV54" i="13" s="1"/>
  <c r="DV80" i="13" s="1"/>
  <c r="DV28" i="13"/>
  <c r="DU94" i="13"/>
  <c r="DU93" i="13"/>
  <c r="DU90" i="13"/>
  <c r="DU86" i="13"/>
  <c r="DU82" i="13"/>
  <c r="DU100" i="13" s="1"/>
  <c r="DU101" i="13" s="1"/>
  <c r="DU74" i="13"/>
  <c r="DU75" i="13" s="1"/>
  <c r="DU68" i="13"/>
  <c r="DU73" i="13" s="1"/>
  <c r="DU67" i="13"/>
  <c r="DU64" i="13"/>
  <c r="DU60" i="13"/>
  <c r="DU43" i="13"/>
  <c r="DU33" i="13"/>
  <c r="DU54" i="13" s="1"/>
  <c r="DU80" i="13" s="1"/>
  <c r="DU28" i="13"/>
  <c r="DT94" i="13"/>
  <c r="DT93" i="13"/>
  <c r="DT90" i="13"/>
  <c r="DT86" i="13"/>
  <c r="DT82" i="13"/>
  <c r="DT100" i="13" s="1"/>
  <c r="DT101" i="13" s="1"/>
  <c r="DT74" i="13"/>
  <c r="DT75" i="13" s="1"/>
  <c r="DT68" i="13"/>
  <c r="DT73" i="13" s="1"/>
  <c r="DT67" i="13"/>
  <c r="DT64" i="13"/>
  <c r="DT60" i="13"/>
  <c r="DT43" i="13"/>
  <c r="DT33" i="13"/>
  <c r="DT54" i="13" s="1"/>
  <c r="DT80" i="13" s="1"/>
  <c r="DT28" i="13"/>
  <c r="DS94" i="13"/>
  <c r="DS93" i="13"/>
  <c r="DS90" i="13"/>
  <c r="DS86" i="13"/>
  <c r="DS82" i="13"/>
  <c r="DS100" i="13" s="1"/>
  <c r="DS101" i="13" s="1"/>
  <c r="DS74" i="13"/>
  <c r="DS75" i="13" s="1"/>
  <c r="DS68" i="13"/>
  <c r="DS73" i="13" s="1"/>
  <c r="DS67" i="13"/>
  <c r="DS64" i="13"/>
  <c r="DS60" i="13"/>
  <c r="DS43" i="13"/>
  <c r="DS33" i="13"/>
  <c r="DS54" i="13" s="1"/>
  <c r="DS80" i="13" s="1"/>
  <c r="DS28" i="13"/>
  <c r="DR94" i="13"/>
  <c r="DR93" i="13"/>
  <c r="DR90" i="13"/>
  <c r="DR86" i="13"/>
  <c r="DR82" i="13"/>
  <c r="DR100" i="13" s="1"/>
  <c r="DR101" i="13" s="1"/>
  <c r="DR74" i="13"/>
  <c r="DR75" i="13" s="1"/>
  <c r="DR68" i="13"/>
  <c r="DR73" i="13" s="1"/>
  <c r="DR67" i="13"/>
  <c r="DR64" i="13"/>
  <c r="DR60" i="13"/>
  <c r="DR43" i="13"/>
  <c r="DR33" i="13"/>
  <c r="DR54" i="13" s="1"/>
  <c r="DR80" i="13" s="1"/>
  <c r="DR28" i="13"/>
  <c r="DQ94" i="13"/>
  <c r="DQ93" i="13"/>
  <c r="DQ90" i="13"/>
  <c r="DQ86" i="13"/>
  <c r="DQ82" i="13"/>
  <c r="DQ100" i="13" s="1"/>
  <c r="DQ101" i="13" s="1"/>
  <c r="DQ74" i="13"/>
  <c r="DQ75" i="13" s="1"/>
  <c r="DQ68" i="13"/>
  <c r="DQ73" i="13" s="1"/>
  <c r="DQ67" i="13"/>
  <c r="DQ64" i="13"/>
  <c r="DQ60" i="13"/>
  <c r="DQ43" i="13"/>
  <c r="DQ33" i="13"/>
  <c r="DQ54" i="13" s="1"/>
  <c r="DQ80" i="13" s="1"/>
  <c r="DQ28" i="13"/>
  <c r="DP94" i="13"/>
  <c r="DP93" i="13"/>
  <c r="DP90" i="13"/>
  <c r="DP86" i="13"/>
  <c r="DP82" i="13"/>
  <c r="DP100" i="13" s="1"/>
  <c r="DP101" i="13" s="1"/>
  <c r="DP74" i="13"/>
  <c r="DP75" i="13" s="1"/>
  <c r="DP68" i="13"/>
  <c r="DP73" i="13" s="1"/>
  <c r="DP67" i="13"/>
  <c r="DP64" i="13"/>
  <c r="DP60" i="13"/>
  <c r="DP43" i="13"/>
  <c r="DP33" i="13"/>
  <c r="DP54" i="13" s="1"/>
  <c r="DP80" i="13" s="1"/>
  <c r="DP28" i="13"/>
  <c r="DO94" i="13"/>
  <c r="DO93" i="13"/>
  <c r="DO90" i="13"/>
  <c r="DO86" i="13"/>
  <c r="DO82" i="13"/>
  <c r="DO100" i="13" s="1"/>
  <c r="DO101" i="13" s="1"/>
  <c r="DO74" i="13"/>
  <c r="DO75" i="13" s="1"/>
  <c r="DO68" i="13"/>
  <c r="DO73" i="13" s="1"/>
  <c r="DO67" i="13"/>
  <c r="DO64" i="13"/>
  <c r="DO60" i="13"/>
  <c r="DO43" i="13"/>
  <c r="DO33" i="13"/>
  <c r="DO54" i="13" s="1"/>
  <c r="DO80" i="13" s="1"/>
  <c r="DO28" i="13"/>
  <c r="DN94" i="13"/>
  <c r="DN93" i="13"/>
  <c r="DN90" i="13"/>
  <c r="DN86" i="13"/>
  <c r="DN82" i="13"/>
  <c r="DN100" i="13" s="1"/>
  <c r="DN101" i="13" s="1"/>
  <c r="DN74" i="13"/>
  <c r="DN75" i="13" s="1"/>
  <c r="DN68" i="13"/>
  <c r="DN73" i="13" s="1"/>
  <c r="DN67" i="13"/>
  <c r="DN64" i="13"/>
  <c r="DN60" i="13"/>
  <c r="DN43" i="13"/>
  <c r="DN33" i="13"/>
  <c r="DN54" i="13" s="1"/>
  <c r="DN80" i="13" s="1"/>
  <c r="DN28" i="13"/>
  <c r="DM94" i="13"/>
  <c r="DM93" i="13"/>
  <c r="DM90" i="13"/>
  <c r="DM86" i="13"/>
  <c r="DM82" i="13"/>
  <c r="DM100" i="13" s="1"/>
  <c r="DM101" i="13" s="1"/>
  <c r="DM74" i="13"/>
  <c r="DM75" i="13" s="1"/>
  <c r="DM68" i="13"/>
  <c r="DM73" i="13" s="1"/>
  <c r="DM67" i="13"/>
  <c r="DM64" i="13"/>
  <c r="DM60" i="13"/>
  <c r="DM43" i="13"/>
  <c r="DM33" i="13"/>
  <c r="DM54" i="13" s="1"/>
  <c r="DM80" i="13" s="1"/>
  <c r="DM28" i="13"/>
  <c r="DL94" i="13"/>
  <c r="DL93" i="13"/>
  <c r="DL90" i="13"/>
  <c r="DL86" i="13"/>
  <c r="DL82" i="13"/>
  <c r="DL100" i="13" s="1"/>
  <c r="DL101" i="13" s="1"/>
  <c r="DL74" i="13"/>
  <c r="DL75" i="13" s="1"/>
  <c r="DL68" i="13"/>
  <c r="DL73" i="13" s="1"/>
  <c r="DL67" i="13"/>
  <c r="DL64" i="13"/>
  <c r="DL60" i="13"/>
  <c r="DL43" i="13"/>
  <c r="DL33" i="13"/>
  <c r="DL54" i="13" s="1"/>
  <c r="DL80" i="13" s="1"/>
  <c r="DL28" i="13"/>
  <c r="DK94" i="13"/>
  <c r="DK93" i="13"/>
  <c r="DK90" i="13"/>
  <c r="DK86" i="13"/>
  <c r="DK82" i="13"/>
  <c r="DK100" i="13" s="1"/>
  <c r="DK101" i="13" s="1"/>
  <c r="DK74" i="13"/>
  <c r="DK75" i="13" s="1"/>
  <c r="DK68" i="13"/>
  <c r="DK73" i="13" s="1"/>
  <c r="DK67" i="13"/>
  <c r="DK64" i="13"/>
  <c r="DK60" i="13"/>
  <c r="DK43" i="13"/>
  <c r="DK33" i="13"/>
  <c r="DK54" i="13" s="1"/>
  <c r="DK80" i="13" s="1"/>
  <c r="DK28" i="13"/>
  <c r="DJ94" i="13"/>
  <c r="DJ93" i="13"/>
  <c r="DJ90" i="13"/>
  <c r="DJ86" i="13"/>
  <c r="DJ82" i="13"/>
  <c r="DJ100" i="13" s="1"/>
  <c r="DJ101" i="13" s="1"/>
  <c r="DJ74" i="13"/>
  <c r="DJ75" i="13" s="1"/>
  <c r="DJ68" i="13"/>
  <c r="DJ73" i="13" s="1"/>
  <c r="DJ67" i="13"/>
  <c r="DJ64" i="13"/>
  <c r="DJ60" i="13"/>
  <c r="DJ43" i="13"/>
  <c r="DJ33" i="13"/>
  <c r="DJ54" i="13" s="1"/>
  <c r="DJ80" i="13" s="1"/>
  <c r="DJ28" i="13"/>
  <c r="DI94" i="13"/>
  <c r="DI93" i="13"/>
  <c r="DI90" i="13"/>
  <c r="DI86" i="13"/>
  <c r="DI82" i="13"/>
  <c r="DI100" i="13" s="1"/>
  <c r="DI101" i="13" s="1"/>
  <c r="DI74" i="13"/>
  <c r="DI75" i="13" s="1"/>
  <c r="DI68" i="13"/>
  <c r="DI73" i="13" s="1"/>
  <c r="DI67" i="13"/>
  <c r="DI64" i="13"/>
  <c r="DI60" i="13"/>
  <c r="DI43" i="13"/>
  <c r="DI33" i="13"/>
  <c r="DI54" i="13" s="1"/>
  <c r="DI80" i="13" s="1"/>
  <c r="DI28" i="13"/>
  <c r="DH94" i="13"/>
  <c r="DH93" i="13"/>
  <c r="DH90" i="13"/>
  <c r="DH86" i="13"/>
  <c r="DH82" i="13"/>
  <c r="DH100" i="13" s="1"/>
  <c r="DH101" i="13" s="1"/>
  <c r="DH74" i="13"/>
  <c r="DH75" i="13" s="1"/>
  <c r="DH68" i="13"/>
  <c r="DH73" i="13" s="1"/>
  <c r="DH67" i="13"/>
  <c r="DH64" i="13"/>
  <c r="DH60" i="13"/>
  <c r="DH43" i="13"/>
  <c r="DH33" i="13"/>
  <c r="DH54" i="13" s="1"/>
  <c r="DH80" i="13" s="1"/>
  <c r="DH28" i="13"/>
  <c r="DG94" i="13"/>
  <c r="DG93" i="13"/>
  <c r="DG90" i="13"/>
  <c r="DG86" i="13"/>
  <c r="DG82" i="13"/>
  <c r="DG100" i="13" s="1"/>
  <c r="DG101" i="13" s="1"/>
  <c r="DG74" i="13"/>
  <c r="DG75" i="13" s="1"/>
  <c r="DG68" i="13"/>
  <c r="DG73" i="13" s="1"/>
  <c r="DG67" i="13"/>
  <c r="DG64" i="13"/>
  <c r="DG60" i="13"/>
  <c r="DG43" i="13"/>
  <c r="DG33" i="13"/>
  <c r="DG54" i="13" s="1"/>
  <c r="DG80" i="13" s="1"/>
  <c r="DG28" i="13"/>
  <c r="DF94" i="13"/>
  <c r="DF93" i="13"/>
  <c r="DF90" i="13"/>
  <c r="DF86" i="13"/>
  <c r="DF82" i="13"/>
  <c r="DF100" i="13" s="1"/>
  <c r="DF101" i="13" s="1"/>
  <c r="DF74" i="13"/>
  <c r="DF75" i="13" s="1"/>
  <c r="DF68" i="13"/>
  <c r="DF73" i="13" s="1"/>
  <c r="DF67" i="13"/>
  <c r="DF64" i="13"/>
  <c r="DF60" i="13"/>
  <c r="DF43" i="13"/>
  <c r="DF33" i="13"/>
  <c r="DF54" i="13" s="1"/>
  <c r="DF80" i="13" s="1"/>
  <c r="DF28" i="13"/>
  <c r="DE94" i="13"/>
  <c r="DE93" i="13"/>
  <c r="DE90" i="13"/>
  <c r="DE86" i="13"/>
  <c r="DE82" i="13"/>
  <c r="DE100" i="13" s="1"/>
  <c r="DE101" i="13" s="1"/>
  <c r="DE74" i="13"/>
  <c r="DE75" i="13" s="1"/>
  <c r="DE68" i="13"/>
  <c r="DE73" i="13" s="1"/>
  <c r="DE67" i="13"/>
  <c r="DE64" i="13"/>
  <c r="DE60" i="13"/>
  <c r="DE43" i="13"/>
  <c r="DE33" i="13"/>
  <c r="DE54" i="13" s="1"/>
  <c r="DE80" i="13" s="1"/>
  <c r="DE28" i="13"/>
  <c r="DD94" i="13"/>
  <c r="DD93" i="13"/>
  <c r="DD90" i="13"/>
  <c r="DD86" i="13"/>
  <c r="DD82" i="13"/>
  <c r="DD100" i="13" s="1"/>
  <c r="DD101" i="13" s="1"/>
  <c r="DD74" i="13"/>
  <c r="DD75" i="13" s="1"/>
  <c r="DD68" i="13"/>
  <c r="DD73" i="13" s="1"/>
  <c r="DD67" i="13"/>
  <c r="DD64" i="13"/>
  <c r="DD60" i="13"/>
  <c r="DD43" i="13"/>
  <c r="DD33" i="13"/>
  <c r="DD54" i="13" s="1"/>
  <c r="DD80" i="13" s="1"/>
  <c r="DD28" i="13"/>
  <c r="DC94" i="13"/>
  <c r="DC93" i="13"/>
  <c r="DC90" i="13"/>
  <c r="DC86" i="13"/>
  <c r="DC82" i="13"/>
  <c r="DC100" i="13" s="1"/>
  <c r="DC101" i="13" s="1"/>
  <c r="DC74" i="13"/>
  <c r="DC75" i="13" s="1"/>
  <c r="DC68" i="13"/>
  <c r="DC73" i="13" s="1"/>
  <c r="DC67" i="13"/>
  <c r="DC64" i="13"/>
  <c r="DC60" i="13"/>
  <c r="DC43" i="13"/>
  <c r="DC33" i="13"/>
  <c r="DC54" i="13" s="1"/>
  <c r="DC80" i="13" s="1"/>
  <c r="DC28" i="13"/>
  <c r="DB94" i="13"/>
  <c r="DB93" i="13"/>
  <c r="DB90" i="13"/>
  <c r="DB86" i="13"/>
  <c r="DB82" i="13"/>
  <c r="DB100" i="13" s="1"/>
  <c r="DB101" i="13" s="1"/>
  <c r="DB74" i="13"/>
  <c r="DB75" i="13" s="1"/>
  <c r="DB68" i="13"/>
  <c r="DB73" i="13" s="1"/>
  <c r="DB67" i="13"/>
  <c r="DB64" i="13"/>
  <c r="DB60" i="13"/>
  <c r="DB43" i="13"/>
  <c r="DB33" i="13"/>
  <c r="DB54" i="13" s="1"/>
  <c r="DB80" i="13" s="1"/>
  <c r="DB28" i="13"/>
  <c r="DA94" i="13"/>
  <c r="DA93" i="13"/>
  <c r="DA90" i="13"/>
  <c r="DA86" i="13"/>
  <c r="DA82" i="13"/>
  <c r="DA100" i="13" s="1"/>
  <c r="DA101" i="13" s="1"/>
  <c r="DA74" i="13"/>
  <c r="DA75" i="13" s="1"/>
  <c r="DA68" i="13"/>
  <c r="DA73" i="13" s="1"/>
  <c r="DA67" i="13"/>
  <c r="DA64" i="13"/>
  <c r="DA60" i="13"/>
  <c r="DA43" i="13"/>
  <c r="DA33" i="13"/>
  <c r="DA54" i="13" s="1"/>
  <c r="DA80" i="13" s="1"/>
  <c r="DA28" i="13"/>
  <c r="CZ94" i="13"/>
  <c r="CZ93" i="13"/>
  <c r="CZ90" i="13"/>
  <c r="CZ86" i="13"/>
  <c r="CZ82" i="13"/>
  <c r="CZ100" i="13" s="1"/>
  <c r="CZ101" i="13" s="1"/>
  <c r="CZ74" i="13"/>
  <c r="CZ75" i="13" s="1"/>
  <c r="CZ68" i="13"/>
  <c r="CZ73" i="13" s="1"/>
  <c r="CZ67" i="13"/>
  <c r="CZ64" i="13"/>
  <c r="CZ60" i="13"/>
  <c r="CZ43" i="13"/>
  <c r="CZ33" i="13"/>
  <c r="CZ54" i="13" s="1"/>
  <c r="CZ80" i="13" s="1"/>
  <c r="CZ28" i="13"/>
  <c r="CY94" i="13"/>
  <c r="CY93" i="13"/>
  <c r="CY90" i="13"/>
  <c r="CY86" i="13"/>
  <c r="CY82" i="13"/>
  <c r="CY100" i="13" s="1"/>
  <c r="CY101" i="13" s="1"/>
  <c r="CY74" i="13"/>
  <c r="CY75" i="13" s="1"/>
  <c r="CY68" i="13"/>
  <c r="CY73" i="13" s="1"/>
  <c r="CY67" i="13"/>
  <c r="CY64" i="13"/>
  <c r="CY60" i="13"/>
  <c r="CY43" i="13"/>
  <c r="CY33" i="13"/>
  <c r="CY54" i="13" s="1"/>
  <c r="CY80" i="13" s="1"/>
  <c r="CY28" i="13"/>
  <c r="CX94" i="13"/>
  <c r="CX93" i="13"/>
  <c r="CX90" i="13"/>
  <c r="CX86" i="13"/>
  <c r="CX82" i="13"/>
  <c r="CX100" i="13" s="1"/>
  <c r="CX101" i="13" s="1"/>
  <c r="CX74" i="13"/>
  <c r="CX75" i="13" s="1"/>
  <c r="CX68" i="13"/>
  <c r="CX73" i="13" s="1"/>
  <c r="CX67" i="13"/>
  <c r="CX64" i="13"/>
  <c r="CX60" i="13"/>
  <c r="CX43" i="13"/>
  <c r="CX33" i="13"/>
  <c r="CX54" i="13" s="1"/>
  <c r="CX80" i="13" s="1"/>
  <c r="CX28" i="13"/>
  <c r="CW94" i="13"/>
  <c r="CW93" i="13"/>
  <c r="CW90" i="13"/>
  <c r="CW86" i="13"/>
  <c r="CW82" i="13"/>
  <c r="CW100" i="13" s="1"/>
  <c r="CW101" i="13" s="1"/>
  <c r="CW74" i="13"/>
  <c r="CW75" i="13" s="1"/>
  <c r="CW68" i="13"/>
  <c r="CW73" i="13" s="1"/>
  <c r="CW67" i="13"/>
  <c r="CW64" i="13"/>
  <c r="CW60" i="13"/>
  <c r="CW43" i="13"/>
  <c r="CW33" i="13"/>
  <c r="CW54" i="13" s="1"/>
  <c r="CW80" i="13" s="1"/>
  <c r="CW28" i="13"/>
  <c r="CV94" i="13"/>
  <c r="CV93" i="13"/>
  <c r="CV90" i="13"/>
  <c r="CV86" i="13"/>
  <c r="CV82" i="13"/>
  <c r="CV100" i="13" s="1"/>
  <c r="CV101" i="13" s="1"/>
  <c r="CV74" i="13"/>
  <c r="CV75" i="13" s="1"/>
  <c r="CV68" i="13"/>
  <c r="CV73" i="13" s="1"/>
  <c r="CV67" i="13"/>
  <c r="CV64" i="13"/>
  <c r="CV60" i="13"/>
  <c r="CV43" i="13"/>
  <c r="CV33" i="13"/>
  <c r="CV54" i="13" s="1"/>
  <c r="CV80" i="13" s="1"/>
  <c r="CV28" i="13"/>
  <c r="CU94" i="13"/>
  <c r="CU93" i="13"/>
  <c r="CU90" i="13"/>
  <c r="CU86" i="13"/>
  <c r="CU82" i="13"/>
  <c r="CU100" i="13" s="1"/>
  <c r="CU101" i="13" s="1"/>
  <c r="CU74" i="13"/>
  <c r="CU75" i="13" s="1"/>
  <c r="CU68" i="13"/>
  <c r="CU73" i="13" s="1"/>
  <c r="CU67" i="13"/>
  <c r="CU64" i="13"/>
  <c r="CU60" i="13"/>
  <c r="CU43" i="13"/>
  <c r="CU33" i="13"/>
  <c r="CU54" i="13" s="1"/>
  <c r="CU80" i="13" s="1"/>
  <c r="CU28" i="13"/>
  <c r="CT94" i="13"/>
  <c r="CT93" i="13"/>
  <c r="CT90" i="13"/>
  <c r="CT86" i="13"/>
  <c r="CT82" i="13"/>
  <c r="CT100" i="13" s="1"/>
  <c r="CT101" i="13" s="1"/>
  <c r="CT74" i="13"/>
  <c r="CT75" i="13" s="1"/>
  <c r="CT68" i="13"/>
  <c r="CT73" i="13" s="1"/>
  <c r="CT67" i="13"/>
  <c r="CT64" i="13"/>
  <c r="CT60" i="13"/>
  <c r="CT43" i="13"/>
  <c r="CT33" i="13"/>
  <c r="CT54" i="13" s="1"/>
  <c r="CT80" i="13" s="1"/>
  <c r="CT28" i="13"/>
  <c r="CS94" i="13"/>
  <c r="CS93" i="13"/>
  <c r="CS90" i="13"/>
  <c r="CS86" i="13"/>
  <c r="CS82" i="13"/>
  <c r="CS100" i="13" s="1"/>
  <c r="CS101" i="13" s="1"/>
  <c r="CS74" i="13"/>
  <c r="CS75" i="13" s="1"/>
  <c r="CS68" i="13"/>
  <c r="CS73" i="13" s="1"/>
  <c r="CS67" i="13"/>
  <c r="CS64" i="13"/>
  <c r="CS60" i="13"/>
  <c r="CS43" i="13"/>
  <c r="CS33" i="13"/>
  <c r="CS54" i="13" s="1"/>
  <c r="CS80" i="13" s="1"/>
  <c r="CS28" i="13"/>
  <c r="CR94" i="13"/>
  <c r="CR93" i="13"/>
  <c r="CR90" i="13"/>
  <c r="CR86" i="13"/>
  <c r="CR82" i="13"/>
  <c r="CR100" i="13" s="1"/>
  <c r="CR101" i="13" s="1"/>
  <c r="CR74" i="13"/>
  <c r="CR75" i="13" s="1"/>
  <c r="CR68" i="13"/>
  <c r="CR73" i="13" s="1"/>
  <c r="CR67" i="13"/>
  <c r="CR64" i="13"/>
  <c r="CR60" i="13"/>
  <c r="CR43" i="13"/>
  <c r="CR33" i="13"/>
  <c r="CR54" i="13" s="1"/>
  <c r="CR80" i="13" s="1"/>
  <c r="CR28" i="13"/>
  <c r="CQ94" i="13"/>
  <c r="CQ93" i="13"/>
  <c r="CQ90" i="13"/>
  <c r="CQ86" i="13"/>
  <c r="CQ82" i="13"/>
  <c r="CQ100" i="13" s="1"/>
  <c r="CQ101" i="13" s="1"/>
  <c r="CQ74" i="13"/>
  <c r="CQ75" i="13" s="1"/>
  <c r="CQ68" i="13"/>
  <c r="CQ73" i="13" s="1"/>
  <c r="CQ67" i="13"/>
  <c r="CQ64" i="13"/>
  <c r="CQ60" i="13"/>
  <c r="CQ43" i="13"/>
  <c r="CQ33" i="13"/>
  <c r="CQ54" i="13" s="1"/>
  <c r="CQ80" i="13" s="1"/>
  <c r="CQ28" i="13"/>
  <c r="CP94" i="13"/>
  <c r="CP93" i="13"/>
  <c r="CP90" i="13"/>
  <c r="CP86" i="13"/>
  <c r="CP82" i="13"/>
  <c r="CP100" i="13" s="1"/>
  <c r="CP101" i="13" s="1"/>
  <c r="CP74" i="13"/>
  <c r="CP75" i="13" s="1"/>
  <c r="CP68" i="13"/>
  <c r="CP73" i="13" s="1"/>
  <c r="CP67" i="13"/>
  <c r="CP64" i="13"/>
  <c r="CP60" i="13"/>
  <c r="CP43" i="13"/>
  <c r="CP33" i="13"/>
  <c r="CP54" i="13" s="1"/>
  <c r="CP80" i="13" s="1"/>
  <c r="CP28" i="13"/>
  <c r="CO94" i="13"/>
  <c r="CO93" i="13"/>
  <c r="CO90" i="13"/>
  <c r="CO86" i="13"/>
  <c r="CO82" i="13"/>
  <c r="CO100" i="13" s="1"/>
  <c r="CO101" i="13" s="1"/>
  <c r="CO74" i="13"/>
  <c r="CO75" i="13" s="1"/>
  <c r="CO68" i="13"/>
  <c r="CO73" i="13" s="1"/>
  <c r="CO67" i="13"/>
  <c r="CO64" i="13"/>
  <c r="CO60" i="13"/>
  <c r="CO43" i="13"/>
  <c r="CO33" i="13"/>
  <c r="CO54" i="13" s="1"/>
  <c r="CO80" i="13" s="1"/>
  <c r="CO28" i="13"/>
  <c r="CN94" i="13"/>
  <c r="CN93" i="13"/>
  <c r="CN90" i="13"/>
  <c r="CN86" i="13"/>
  <c r="CN82" i="13"/>
  <c r="CN100" i="13" s="1"/>
  <c r="CN101" i="13" s="1"/>
  <c r="CN74" i="13"/>
  <c r="CN75" i="13" s="1"/>
  <c r="CN68" i="13"/>
  <c r="CN73" i="13" s="1"/>
  <c r="CN67" i="13"/>
  <c r="CN64" i="13"/>
  <c r="CN60" i="13"/>
  <c r="CN43" i="13"/>
  <c r="CN33" i="13"/>
  <c r="CN54" i="13" s="1"/>
  <c r="CN80" i="13" s="1"/>
  <c r="CN28" i="13"/>
  <c r="CM94" i="13"/>
  <c r="CM93" i="13"/>
  <c r="CM90" i="13"/>
  <c r="CM86" i="13"/>
  <c r="CM82" i="13"/>
  <c r="CM100" i="13" s="1"/>
  <c r="CM101" i="13" s="1"/>
  <c r="CM74" i="13"/>
  <c r="CM75" i="13" s="1"/>
  <c r="CM68" i="13"/>
  <c r="CM73" i="13" s="1"/>
  <c r="CM67" i="13"/>
  <c r="CM64" i="13"/>
  <c r="CM60" i="13"/>
  <c r="CM43" i="13"/>
  <c r="CM33" i="13"/>
  <c r="CM54" i="13" s="1"/>
  <c r="CM80" i="13" s="1"/>
  <c r="CM28" i="13"/>
  <c r="CL94" i="13"/>
  <c r="CL93" i="13"/>
  <c r="CL90" i="13"/>
  <c r="CL86" i="13"/>
  <c r="CL82" i="13"/>
  <c r="CL100" i="13" s="1"/>
  <c r="CL101" i="13" s="1"/>
  <c r="CL74" i="13"/>
  <c r="CL75" i="13" s="1"/>
  <c r="CL68" i="13"/>
  <c r="CL73" i="13" s="1"/>
  <c r="CL67" i="13"/>
  <c r="CL64" i="13"/>
  <c r="CL60" i="13"/>
  <c r="CL43" i="13"/>
  <c r="CL33" i="13"/>
  <c r="CL54" i="13" s="1"/>
  <c r="CL80" i="13" s="1"/>
  <c r="CL28" i="13"/>
  <c r="CK94" i="13"/>
  <c r="CK93" i="13"/>
  <c r="CK90" i="13"/>
  <c r="CK86" i="13"/>
  <c r="CK82" i="13"/>
  <c r="CK100" i="13" s="1"/>
  <c r="CK101" i="13" s="1"/>
  <c r="CK74" i="13"/>
  <c r="CK75" i="13" s="1"/>
  <c r="CK68" i="13"/>
  <c r="CK73" i="13" s="1"/>
  <c r="CK67" i="13"/>
  <c r="CK64" i="13"/>
  <c r="CK60" i="13"/>
  <c r="CK43" i="13"/>
  <c r="CK33" i="13"/>
  <c r="CK54" i="13" s="1"/>
  <c r="CK80" i="13" s="1"/>
  <c r="CK28" i="13"/>
  <c r="CJ94" i="13"/>
  <c r="CJ93" i="13"/>
  <c r="CJ90" i="13"/>
  <c r="CJ86" i="13"/>
  <c r="CJ82" i="13"/>
  <c r="CJ100" i="13" s="1"/>
  <c r="CJ101" i="13" s="1"/>
  <c r="CJ74" i="13"/>
  <c r="CJ75" i="13" s="1"/>
  <c r="CJ68" i="13"/>
  <c r="CJ73" i="13" s="1"/>
  <c r="CJ67" i="13"/>
  <c r="CJ64" i="13"/>
  <c r="CJ60" i="13"/>
  <c r="CJ43" i="13"/>
  <c r="CJ33" i="13"/>
  <c r="CJ54" i="13" s="1"/>
  <c r="CJ80" i="13" s="1"/>
  <c r="CJ28" i="13"/>
  <c r="CI94" i="13"/>
  <c r="CI93" i="13"/>
  <c r="CI90" i="13"/>
  <c r="CI86" i="13"/>
  <c r="CI82" i="13"/>
  <c r="CI100" i="13" s="1"/>
  <c r="CI101" i="13" s="1"/>
  <c r="CI74" i="13"/>
  <c r="CI75" i="13" s="1"/>
  <c r="CI68" i="13"/>
  <c r="CI73" i="13" s="1"/>
  <c r="CI67" i="13"/>
  <c r="CI64" i="13"/>
  <c r="CI60" i="13"/>
  <c r="CI43" i="13"/>
  <c r="CI33" i="13"/>
  <c r="CI54" i="13" s="1"/>
  <c r="CI80" i="13" s="1"/>
  <c r="CI28" i="13"/>
  <c r="CH94" i="13"/>
  <c r="CH93" i="13"/>
  <c r="CH90" i="13"/>
  <c r="CH86" i="13"/>
  <c r="CH82" i="13"/>
  <c r="CH100" i="13" s="1"/>
  <c r="CH101" i="13" s="1"/>
  <c r="CH74" i="13"/>
  <c r="CH75" i="13" s="1"/>
  <c r="CH68" i="13"/>
  <c r="CH73" i="13" s="1"/>
  <c r="CH67" i="13"/>
  <c r="CH64" i="13"/>
  <c r="CH60" i="13"/>
  <c r="CH43" i="13"/>
  <c r="CH33" i="13"/>
  <c r="CH54" i="13" s="1"/>
  <c r="CH80" i="13" s="1"/>
  <c r="CH28" i="13"/>
  <c r="CG94" i="13"/>
  <c r="CG93" i="13"/>
  <c r="CG90" i="13"/>
  <c r="CG86" i="13"/>
  <c r="CG82" i="13"/>
  <c r="CG100" i="13" s="1"/>
  <c r="CG101" i="13" s="1"/>
  <c r="CG74" i="13"/>
  <c r="CG75" i="13" s="1"/>
  <c r="CG68" i="13"/>
  <c r="CG73" i="13" s="1"/>
  <c r="CG67" i="13"/>
  <c r="CG64" i="13"/>
  <c r="CG60" i="13"/>
  <c r="CG43" i="13"/>
  <c r="CG33" i="13"/>
  <c r="CG54" i="13" s="1"/>
  <c r="CG80" i="13" s="1"/>
  <c r="CG28" i="13"/>
  <c r="CF94" i="13"/>
  <c r="CF93" i="13"/>
  <c r="CF90" i="13"/>
  <c r="CF86" i="13"/>
  <c r="CF82" i="13"/>
  <c r="CF100" i="13" s="1"/>
  <c r="CF101" i="13" s="1"/>
  <c r="CF74" i="13"/>
  <c r="CF75" i="13" s="1"/>
  <c r="CF68" i="13"/>
  <c r="CF73" i="13" s="1"/>
  <c r="CF67" i="13"/>
  <c r="CF64" i="13"/>
  <c r="CF60" i="13"/>
  <c r="CF43" i="13"/>
  <c r="CF33" i="13"/>
  <c r="CF54" i="13" s="1"/>
  <c r="CF80" i="13" s="1"/>
  <c r="CF28" i="13"/>
  <c r="CE94" i="13"/>
  <c r="CE93" i="13"/>
  <c r="CE90" i="13"/>
  <c r="CE86" i="13"/>
  <c r="CE82" i="13"/>
  <c r="CE100" i="13" s="1"/>
  <c r="CE101" i="13" s="1"/>
  <c r="CE74" i="13"/>
  <c r="CE75" i="13" s="1"/>
  <c r="CE68" i="13"/>
  <c r="CE73" i="13" s="1"/>
  <c r="CE67" i="13"/>
  <c r="CE64" i="13"/>
  <c r="CE60" i="13"/>
  <c r="CE43" i="13"/>
  <c r="CE33" i="13"/>
  <c r="CE54" i="13" s="1"/>
  <c r="CE80" i="13" s="1"/>
  <c r="CE28" i="13"/>
  <c r="CD94" i="13"/>
  <c r="CD93" i="13"/>
  <c r="CD90" i="13"/>
  <c r="CD86" i="13"/>
  <c r="CD82" i="13"/>
  <c r="CD100" i="13" s="1"/>
  <c r="CD101" i="13" s="1"/>
  <c r="CD74" i="13"/>
  <c r="CD75" i="13" s="1"/>
  <c r="CD68" i="13"/>
  <c r="CD73" i="13" s="1"/>
  <c r="CD67" i="13"/>
  <c r="CD64" i="13"/>
  <c r="CD60" i="13"/>
  <c r="CD43" i="13"/>
  <c r="CD33" i="13"/>
  <c r="CD54" i="13" s="1"/>
  <c r="CD80" i="13" s="1"/>
  <c r="CD28" i="13"/>
  <c r="CC94" i="13"/>
  <c r="CC93" i="13"/>
  <c r="CC90" i="13"/>
  <c r="CC86" i="13"/>
  <c r="CC82" i="13"/>
  <c r="CC100" i="13" s="1"/>
  <c r="CC101" i="13" s="1"/>
  <c r="CC74" i="13"/>
  <c r="CC75" i="13" s="1"/>
  <c r="CC68" i="13"/>
  <c r="CC73" i="13" s="1"/>
  <c r="CC67" i="13"/>
  <c r="CC64" i="13"/>
  <c r="CC60" i="13"/>
  <c r="CC43" i="13"/>
  <c r="CC33" i="13"/>
  <c r="CC54" i="13" s="1"/>
  <c r="CC80" i="13" s="1"/>
  <c r="CC28" i="13"/>
  <c r="CB94" i="13"/>
  <c r="CB93" i="13"/>
  <c r="CB90" i="13"/>
  <c r="CB86" i="13"/>
  <c r="CB82" i="13"/>
  <c r="CB100" i="13" s="1"/>
  <c r="CB101" i="13" s="1"/>
  <c r="CB74" i="13"/>
  <c r="CB75" i="13" s="1"/>
  <c r="CB68" i="13"/>
  <c r="CB73" i="13" s="1"/>
  <c r="CB67" i="13"/>
  <c r="CB64" i="13"/>
  <c r="CB60" i="13"/>
  <c r="CB43" i="13"/>
  <c r="CB33" i="13"/>
  <c r="CB54" i="13" s="1"/>
  <c r="CB80" i="13" s="1"/>
  <c r="CB28" i="13"/>
  <c r="CA94" i="13"/>
  <c r="CA93" i="13"/>
  <c r="CA90" i="13"/>
  <c r="CA86" i="13"/>
  <c r="CA82" i="13"/>
  <c r="CA100" i="13" s="1"/>
  <c r="CA101" i="13" s="1"/>
  <c r="CA74" i="13"/>
  <c r="CA75" i="13" s="1"/>
  <c r="CA68" i="13"/>
  <c r="CA73" i="13" s="1"/>
  <c r="CA67" i="13"/>
  <c r="CA64" i="13"/>
  <c r="CA60" i="13"/>
  <c r="CA43" i="13"/>
  <c r="CA33" i="13"/>
  <c r="CA54" i="13" s="1"/>
  <c r="CA80" i="13" s="1"/>
  <c r="CA28" i="13"/>
  <c r="BZ94" i="13"/>
  <c r="BZ93" i="13"/>
  <c r="BZ90" i="13"/>
  <c r="BZ86" i="13"/>
  <c r="BZ82" i="13"/>
  <c r="BZ100" i="13" s="1"/>
  <c r="BZ101" i="13" s="1"/>
  <c r="BZ74" i="13"/>
  <c r="BZ75" i="13" s="1"/>
  <c r="BZ68" i="13"/>
  <c r="BZ73" i="13" s="1"/>
  <c r="BZ67" i="13"/>
  <c r="BZ64" i="13"/>
  <c r="BZ60" i="13"/>
  <c r="BZ43" i="13"/>
  <c r="BZ33" i="13"/>
  <c r="BZ54" i="13" s="1"/>
  <c r="BZ80" i="13" s="1"/>
  <c r="BZ28" i="13"/>
  <c r="BY94" i="13"/>
  <c r="BY93" i="13"/>
  <c r="BY90" i="13"/>
  <c r="BY86" i="13"/>
  <c r="BY82" i="13"/>
  <c r="BY100" i="13" s="1"/>
  <c r="BY101" i="13" s="1"/>
  <c r="BY74" i="13"/>
  <c r="BY75" i="13" s="1"/>
  <c r="BY68" i="13"/>
  <c r="BY73" i="13" s="1"/>
  <c r="BY67" i="13"/>
  <c r="BY64" i="13"/>
  <c r="BY60" i="13"/>
  <c r="BY43" i="13"/>
  <c r="BY33" i="13"/>
  <c r="BY54" i="13" s="1"/>
  <c r="BY80" i="13" s="1"/>
  <c r="BY28" i="13"/>
  <c r="BX94" i="13"/>
  <c r="BX93" i="13"/>
  <c r="BX90" i="13"/>
  <c r="BX86" i="13"/>
  <c r="BX82" i="13"/>
  <c r="BX100" i="13" s="1"/>
  <c r="BX101" i="13" s="1"/>
  <c r="BX74" i="13"/>
  <c r="BX75" i="13" s="1"/>
  <c r="BX68" i="13"/>
  <c r="BX73" i="13" s="1"/>
  <c r="BX67" i="13"/>
  <c r="BX64" i="13"/>
  <c r="BX60" i="13"/>
  <c r="BX43" i="13"/>
  <c r="BX33" i="13"/>
  <c r="BX54" i="13" s="1"/>
  <c r="BX80" i="13" s="1"/>
  <c r="BX28" i="13"/>
  <c r="BW94" i="13"/>
  <c r="BW93" i="13"/>
  <c r="BW90" i="13"/>
  <c r="BW86" i="13"/>
  <c r="BW82" i="13"/>
  <c r="BW100" i="13" s="1"/>
  <c r="BW101" i="13" s="1"/>
  <c r="BW74" i="13"/>
  <c r="BW75" i="13" s="1"/>
  <c r="BW68" i="13"/>
  <c r="BW73" i="13" s="1"/>
  <c r="BW67" i="13"/>
  <c r="BW64" i="13"/>
  <c r="BW60" i="13"/>
  <c r="BW43" i="13"/>
  <c r="BW33" i="13"/>
  <c r="BW54" i="13" s="1"/>
  <c r="BW80" i="13" s="1"/>
  <c r="BW28" i="13"/>
  <c r="BV94" i="13"/>
  <c r="BV93" i="13"/>
  <c r="BV90" i="13"/>
  <c r="BV86" i="13"/>
  <c r="BV82" i="13"/>
  <c r="BV100" i="13" s="1"/>
  <c r="BV101" i="13" s="1"/>
  <c r="BV74" i="13"/>
  <c r="BV75" i="13" s="1"/>
  <c r="BV68" i="13"/>
  <c r="BV73" i="13" s="1"/>
  <c r="BV67" i="13"/>
  <c r="BV64" i="13"/>
  <c r="BV60" i="13"/>
  <c r="BV43" i="13"/>
  <c r="BV33" i="13"/>
  <c r="BV54" i="13" s="1"/>
  <c r="BV80" i="13" s="1"/>
  <c r="BV28" i="13"/>
  <c r="BU94" i="13"/>
  <c r="BU93" i="13"/>
  <c r="BU90" i="13"/>
  <c r="BU86" i="13"/>
  <c r="BU82" i="13"/>
  <c r="BU100" i="13" s="1"/>
  <c r="BU101" i="13" s="1"/>
  <c r="BU74" i="13"/>
  <c r="BU75" i="13" s="1"/>
  <c r="BU68" i="13"/>
  <c r="BU73" i="13" s="1"/>
  <c r="BU67" i="13"/>
  <c r="BU64" i="13"/>
  <c r="BU60" i="13"/>
  <c r="BU43" i="13"/>
  <c r="BU33" i="13"/>
  <c r="BU54" i="13" s="1"/>
  <c r="BU80" i="13" s="1"/>
  <c r="BU28" i="13"/>
  <c r="BT94" i="13"/>
  <c r="BT93" i="13"/>
  <c r="BT90" i="13"/>
  <c r="BT86" i="13"/>
  <c r="BT82" i="13"/>
  <c r="BT100" i="13" s="1"/>
  <c r="BT101" i="13" s="1"/>
  <c r="BT74" i="13"/>
  <c r="BT75" i="13" s="1"/>
  <c r="BT68" i="13"/>
  <c r="BT73" i="13" s="1"/>
  <c r="BT67" i="13"/>
  <c r="BT64" i="13"/>
  <c r="BT60" i="13"/>
  <c r="BT43" i="13"/>
  <c r="BT33" i="13"/>
  <c r="BT54" i="13" s="1"/>
  <c r="BT80" i="13" s="1"/>
  <c r="BT28" i="13"/>
  <c r="BS94" i="13"/>
  <c r="BS93" i="13"/>
  <c r="BS90" i="13"/>
  <c r="BS86" i="13"/>
  <c r="BS82" i="13"/>
  <c r="BS100" i="13" s="1"/>
  <c r="BS101" i="13" s="1"/>
  <c r="BS74" i="13"/>
  <c r="BS75" i="13" s="1"/>
  <c r="BS68" i="13"/>
  <c r="BS73" i="13" s="1"/>
  <c r="BS67" i="13"/>
  <c r="BS64" i="13"/>
  <c r="BS60" i="13"/>
  <c r="BS43" i="13"/>
  <c r="BS33" i="13"/>
  <c r="BS54" i="13" s="1"/>
  <c r="BS80" i="13" s="1"/>
  <c r="BS28" i="13"/>
  <c r="BR94" i="13"/>
  <c r="BR93" i="13"/>
  <c r="BR90" i="13"/>
  <c r="BR86" i="13"/>
  <c r="BR82" i="13"/>
  <c r="BR100" i="13" s="1"/>
  <c r="BR101" i="13" s="1"/>
  <c r="BR74" i="13"/>
  <c r="BR75" i="13" s="1"/>
  <c r="BR68" i="13"/>
  <c r="BR73" i="13" s="1"/>
  <c r="BR67" i="13"/>
  <c r="BR64" i="13"/>
  <c r="BR60" i="13"/>
  <c r="BR43" i="13"/>
  <c r="BR33" i="13"/>
  <c r="BR54" i="13" s="1"/>
  <c r="BR80" i="13" s="1"/>
  <c r="BR28" i="13"/>
  <c r="BQ94" i="13"/>
  <c r="BQ93" i="13"/>
  <c r="BQ90" i="13"/>
  <c r="BQ86" i="13"/>
  <c r="BQ82" i="13"/>
  <c r="BQ100" i="13" s="1"/>
  <c r="BQ101" i="13" s="1"/>
  <c r="BQ74" i="13"/>
  <c r="BQ75" i="13" s="1"/>
  <c r="BQ68" i="13"/>
  <c r="BQ73" i="13" s="1"/>
  <c r="BQ67" i="13"/>
  <c r="BQ64" i="13"/>
  <c r="BQ60" i="13"/>
  <c r="BQ43" i="13"/>
  <c r="BQ33" i="13"/>
  <c r="BQ54" i="13" s="1"/>
  <c r="BQ80" i="13" s="1"/>
  <c r="BQ28" i="13"/>
  <c r="BP94" i="13"/>
  <c r="BP93" i="13"/>
  <c r="BP90" i="13"/>
  <c r="BP86" i="13"/>
  <c r="BP82" i="13"/>
  <c r="BP100" i="13" s="1"/>
  <c r="BP101" i="13" s="1"/>
  <c r="BP74" i="13"/>
  <c r="BP75" i="13" s="1"/>
  <c r="BP68" i="13"/>
  <c r="BP73" i="13" s="1"/>
  <c r="BP67" i="13"/>
  <c r="BP64" i="13"/>
  <c r="BP60" i="13"/>
  <c r="BP43" i="13"/>
  <c r="BP33" i="13"/>
  <c r="BP54" i="13" s="1"/>
  <c r="BP80" i="13" s="1"/>
  <c r="BP28" i="13"/>
  <c r="BO94" i="13"/>
  <c r="BO93" i="13"/>
  <c r="BO90" i="13"/>
  <c r="BO86" i="13"/>
  <c r="BO82" i="13"/>
  <c r="BO100" i="13" s="1"/>
  <c r="BO101" i="13" s="1"/>
  <c r="BO74" i="13"/>
  <c r="BO75" i="13" s="1"/>
  <c r="BO68" i="13"/>
  <c r="BO73" i="13" s="1"/>
  <c r="BO67" i="13"/>
  <c r="BO64" i="13"/>
  <c r="BO60" i="13"/>
  <c r="BO43" i="13"/>
  <c r="BO33" i="13"/>
  <c r="BO54" i="13" s="1"/>
  <c r="BO80" i="13" s="1"/>
  <c r="BO28" i="13"/>
  <c r="G29" i="13" a="1"/>
  <c r="G29" i="13" s="1"/>
  <c r="BN94" i="13"/>
  <c r="BN93" i="13"/>
  <c r="BN90" i="13"/>
  <c r="BN86" i="13"/>
  <c r="BN82" i="13"/>
  <c r="BN100" i="13" s="1"/>
  <c r="BN101" i="13" s="1"/>
  <c r="BN74" i="13"/>
  <c r="BN75" i="13" s="1"/>
  <c r="BN68" i="13"/>
  <c r="BN73" i="13" s="1"/>
  <c r="BN67" i="13"/>
  <c r="BN64" i="13"/>
  <c r="BN60" i="13"/>
  <c r="BN43" i="13"/>
  <c r="BN33" i="13"/>
  <c r="BN54" i="13" s="1"/>
  <c r="BN80" i="13" s="1"/>
  <c r="BN28" i="13"/>
  <c r="BM94" i="13"/>
  <c r="BM93" i="13"/>
  <c r="BM90" i="13"/>
  <c r="BM86" i="13"/>
  <c r="BM82" i="13"/>
  <c r="BM100" i="13" s="1"/>
  <c r="BM101" i="13" s="1"/>
  <c r="BM74" i="13"/>
  <c r="BM75" i="13" s="1"/>
  <c r="BM68" i="13"/>
  <c r="BM73" i="13" s="1"/>
  <c r="BM67" i="13"/>
  <c r="BM64" i="13"/>
  <c r="BM60" i="13"/>
  <c r="BM43" i="13"/>
  <c r="BM33" i="13"/>
  <c r="BM54" i="13" s="1"/>
  <c r="BM80" i="13" s="1"/>
  <c r="BM28" i="13"/>
  <c r="BL94" i="13"/>
  <c r="BL93" i="13"/>
  <c r="BL90" i="13"/>
  <c r="BL86" i="13"/>
  <c r="BL82" i="13"/>
  <c r="BL100" i="13" s="1"/>
  <c r="BL101" i="13" s="1"/>
  <c r="BL74" i="13"/>
  <c r="BL75" i="13" s="1"/>
  <c r="BL68" i="13"/>
  <c r="BL73" i="13" s="1"/>
  <c r="BL67" i="13"/>
  <c r="BL64" i="13"/>
  <c r="BL60" i="13"/>
  <c r="BL43" i="13"/>
  <c r="BL33" i="13"/>
  <c r="BL54" i="13" s="1"/>
  <c r="BL80" i="13" s="1"/>
  <c r="BL28" i="13"/>
  <c r="BK94" i="13"/>
  <c r="BK93" i="13"/>
  <c r="BK90" i="13"/>
  <c r="BK86" i="13"/>
  <c r="BK82" i="13"/>
  <c r="BK100" i="13" s="1"/>
  <c r="BK101" i="13" s="1"/>
  <c r="BK74" i="13"/>
  <c r="BK75" i="13" s="1"/>
  <c r="BK68" i="13"/>
  <c r="BK73" i="13" s="1"/>
  <c r="BK67" i="13"/>
  <c r="BK64" i="13"/>
  <c r="BK60" i="13"/>
  <c r="BK43" i="13"/>
  <c r="BK33" i="13"/>
  <c r="BK54" i="13" s="1"/>
  <c r="BK80" i="13" s="1"/>
  <c r="BK28" i="13"/>
  <c r="BJ94" i="13"/>
  <c r="BJ93" i="13"/>
  <c r="BJ90" i="13"/>
  <c r="BJ86" i="13"/>
  <c r="BJ82" i="13"/>
  <c r="BJ100" i="13" s="1"/>
  <c r="BJ101" i="13" s="1"/>
  <c r="BJ74" i="13"/>
  <c r="BJ75" i="13" s="1"/>
  <c r="BJ68" i="13"/>
  <c r="BJ73" i="13" s="1"/>
  <c r="BJ67" i="13"/>
  <c r="BJ64" i="13"/>
  <c r="BJ60" i="13"/>
  <c r="BJ43" i="13"/>
  <c r="BJ33" i="13"/>
  <c r="BJ54" i="13" s="1"/>
  <c r="BJ80" i="13" s="1"/>
  <c r="BJ28" i="13"/>
  <c r="BI94" i="13"/>
  <c r="BI93" i="13"/>
  <c r="BI90" i="13"/>
  <c r="BI86" i="13"/>
  <c r="BI82" i="13"/>
  <c r="BI100" i="13" s="1"/>
  <c r="BI101" i="13" s="1"/>
  <c r="BI74" i="13"/>
  <c r="BI75" i="13" s="1"/>
  <c r="BI68" i="13"/>
  <c r="BI73" i="13" s="1"/>
  <c r="BI67" i="13"/>
  <c r="BI64" i="13"/>
  <c r="BI60" i="13"/>
  <c r="BI43" i="13"/>
  <c r="BI33" i="13"/>
  <c r="BI54" i="13" s="1"/>
  <c r="BI80" i="13" s="1"/>
  <c r="BI28" i="13"/>
  <c r="BH94" i="13"/>
  <c r="BH93" i="13"/>
  <c r="BH90" i="13"/>
  <c r="BH86" i="13"/>
  <c r="BH82" i="13"/>
  <c r="BH100" i="13" s="1"/>
  <c r="BH101" i="13" s="1"/>
  <c r="BH74" i="13"/>
  <c r="BH75" i="13" s="1"/>
  <c r="BH68" i="13"/>
  <c r="BH73" i="13" s="1"/>
  <c r="BH67" i="13"/>
  <c r="BH64" i="13"/>
  <c r="BH60" i="13"/>
  <c r="BH43" i="13"/>
  <c r="BH33" i="13"/>
  <c r="BH54" i="13" s="1"/>
  <c r="BH80" i="13" s="1"/>
  <c r="BH28" i="13"/>
  <c r="BG94" i="13"/>
  <c r="BG93" i="13"/>
  <c r="BG90" i="13"/>
  <c r="BG86" i="13"/>
  <c r="BG82" i="13"/>
  <c r="BG100" i="13" s="1"/>
  <c r="BG101" i="13" s="1"/>
  <c r="BG74" i="13"/>
  <c r="BG75" i="13" s="1"/>
  <c r="BG68" i="13"/>
  <c r="BG73" i="13" s="1"/>
  <c r="BG67" i="13"/>
  <c r="BG64" i="13"/>
  <c r="BG60" i="13"/>
  <c r="BG43" i="13"/>
  <c r="BG33" i="13"/>
  <c r="BG54" i="13" s="1"/>
  <c r="BG80" i="13" s="1"/>
  <c r="BG28" i="13"/>
  <c r="BF94" i="13"/>
  <c r="BF93" i="13"/>
  <c r="BF90" i="13"/>
  <c r="BF86" i="13"/>
  <c r="BF82" i="13"/>
  <c r="BF100" i="13" s="1"/>
  <c r="BF101" i="13" s="1"/>
  <c r="BF74" i="13"/>
  <c r="BF75" i="13" s="1"/>
  <c r="BF68" i="13"/>
  <c r="BF73" i="13" s="1"/>
  <c r="BF67" i="13"/>
  <c r="BF64" i="13"/>
  <c r="BF60" i="13"/>
  <c r="BF43" i="13"/>
  <c r="BF33" i="13"/>
  <c r="BF54" i="13" s="1"/>
  <c r="BF80" i="13" s="1"/>
  <c r="BF28" i="13"/>
  <c r="BE94" i="13"/>
  <c r="BE93" i="13"/>
  <c r="BE90" i="13"/>
  <c r="BE86" i="13"/>
  <c r="BE82" i="13"/>
  <c r="BE100" i="13" s="1"/>
  <c r="BE101" i="13" s="1"/>
  <c r="BE74" i="13"/>
  <c r="BE75" i="13" s="1"/>
  <c r="BE68" i="13"/>
  <c r="BE73" i="13" s="1"/>
  <c r="BE67" i="13"/>
  <c r="BE64" i="13"/>
  <c r="BE60" i="13"/>
  <c r="BE43" i="13"/>
  <c r="BE33" i="13"/>
  <c r="BE54" i="13" s="1"/>
  <c r="BE80" i="13" s="1"/>
  <c r="BE28" i="13"/>
  <c r="BD94" i="13"/>
  <c r="BD93" i="13"/>
  <c r="BD90" i="13"/>
  <c r="BD86" i="13"/>
  <c r="BD82" i="13"/>
  <c r="BD100" i="13" s="1"/>
  <c r="BD101" i="13" s="1"/>
  <c r="BD74" i="13"/>
  <c r="BD75" i="13" s="1"/>
  <c r="BD68" i="13"/>
  <c r="BD73" i="13" s="1"/>
  <c r="BD67" i="13"/>
  <c r="BD64" i="13"/>
  <c r="BD60" i="13"/>
  <c r="BD43" i="13"/>
  <c r="BD33" i="13"/>
  <c r="BD54" i="13" s="1"/>
  <c r="BD80" i="13" s="1"/>
  <c r="BD28" i="13"/>
  <c r="BC94" i="13"/>
  <c r="BC93" i="13"/>
  <c r="BC90" i="13"/>
  <c r="BC86" i="13"/>
  <c r="BC82" i="13"/>
  <c r="BC100" i="13" s="1"/>
  <c r="BC101" i="13" s="1"/>
  <c r="BC74" i="13"/>
  <c r="BC75" i="13" s="1"/>
  <c r="BC68" i="13"/>
  <c r="BC73" i="13" s="1"/>
  <c r="BC67" i="13"/>
  <c r="BC64" i="13"/>
  <c r="BC60" i="13"/>
  <c r="BC43" i="13"/>
  <c r="BC33" i="13"/>
  <c r="BC54" i="13" s="1"/>
  <c r="BC80" i="13" s="1"/>
  <c r="BC28" i="13"/>
  <c r="BB94" i="13"/>
  <c r="BB93" i="13"/>
  <c r="BB90" i="13"/>
  <c r="BB86" i="13"/>
  <c r="BB82" i="13"/>
  <c r="BB100" i="13" s="1"/>
  <c r="BB101" i="13" s="1"/>
  <c r="BB74" i="13"/>
  <c r="BB75" i="13" s="1"/>
  <c r="BB68" i="13"/>
  <c r="BB73" i="13" s="1"/>
  <c r="BB67" i="13"/>
  <c r="BB64" i="13"/>
  <c r="BB60" i="13"/>
  <c r="BB43" i="13"/>
  <c r="BB33" i="13"/>
  <c r="BB54" i="13" s="1"/>
  <c r="BB80" i="13" s="1"/>
  <c r="BB28" i="13"/>
  <c r="BA94" i="13"/>
  <c r="BA93" i="13"/>
  <c r="BA90" i="13"/>
  <c r="BA86" i="13"/>
  <c r="BA82" i="13"/>
  <c r="BA100" i="13" s="1"/>
  <c r="BA101" i="13" s="1"/>
  <c r="BA74" i="13"/>
  <c r="BA75" i="13" s="1"/>
  <c r="BA68" i="13"/>
  <c r="BA73" i="13" s="1"/>
  <c r="BA67" i="13"/>
  <c r="BA64" i="13"/>
  <c r="BA60" i="13"/>
  <c r="BA43" i="13"/>
  <c r="BA33" i="13"/>
  <c r="BA54" i="13" s="1"/>
  <c r="BA80" i="13" s="1"/>
  <c r="BA28" i="13"/>
  <c r="AZ94" i="13"/>
  <c r="AZ93" i="13"/>
  <c r="AZ90" i="13"/>
  <c r="AZ86" i="13"/>
  <c r="AZ82" i="13"/>
  <c r="AZ100" i="13" s="1"/>
  <c r="AZ101" i="13" s="1"/>
  <c r="AZ74" i="13"/>
  <c r="AZ75" i="13" s="1"/>
  <c r="AZ68" i="13"/>
  <c r="AZ73" i="13" s="1"/>
  <c r="AZ67" i="13"/>
  <c r="AZ64" i="13"/>
  <c r="AZ60" i="13"/>
  <c r="AZ43" i="13"/>
  <c r="AZ33" i="13"/>
  <c r="AZ54" i="13" s="1"/>
  <c r="AZ80" i="13" s="1"/>
  <c r="AZ28" i="13"/>
  <c r="AY94" i="13"/>
  <c r="AY93" i="13"/>
  <c r="AY90" i="13"/>
  <c r="AY86" i="13"/>
  <c r="AY82" i="13"/>
  <c r="AY100" i="13" s="1"/>
  <c r="AY101" i="13" s="1"/>
  <c r="AY74" i="13"/>
  <c r="AY75" i="13" s="1"/>
  <c r="AY68" i="13"/>
  <c r="AY73" i="13" s="1"/>
  <c r="AY67" i="13"/>
  <c r="AY64" i="13"/>
  <c r="AY60" i="13"/>
  <c r="AY43" i="13"/>
  <c r="AY33" i="13"/>
  <c r="AY54" i="13" s="1"/>
  <c r="AY80" i="13" s="1"/>
  <c r="AY28" i="13"/>
  <c r="AX94" i="13"/>
  <c r="AX93" i="13"/>
  <c r="AX90" i="13"/>
  <c r="AX86" i="13"/>
  <c r="AX82" i="13"/>
  <c r="AX100" i="13" s="1"/>
  <c r="AX101" i="13" s="1"/>
  <c r="AX74" i="13"/>
  <c r="AX75" i="13" s="1"/>
  <c r="AX68" i="13"/>
  <c r="AX73" i="13" s="1"/>
  <c r="AX67" i="13"/>
  <c r="AX64" i="13"/>
  <c r="AX60" i="13"/>
  <c r="AX43" i="13"/>
  <c r="AX33" i="13"/>
  <c r="AX54" i="13" s="1"/>
  <c r="AX80" i="13" s="1"/>
  <c r="AX28" i="13"/>
  <c r="AW94" i="13"/>
  <c r="AW93" i="13"/>
  <c r="AW90" i="13"/>
  <c r="AW86" i="13"/>
  <c r="AW82" i="13"/>
  <c r="AW100" i="13" s="1"/>
  <c r="AW101" i="13" s="1"/>
  <c r="AW74" i="13"/>
  <c r="AW75" i="13" s="1"/>
  <c r="AW68" i="13"/>
  <c r="AW73" i="13" s="1"/>
  <c r="AW67" i="13"/>
  <c r="AW64" i="13"/>
  <c r="AW60" i="13"/>
  <c r="AW43" i="13"/>
  <c r="AW33" i="13"/>
  <c r="AW54" i="13" s="1"/>
  <c r="AW80" i="13" s="1"/>
  <c r="AW28" i="13"/>
  <c r="AV94" i="13"/>
  <c r="AV93" i="13"/>
  <c r="AV90" i="13"/>
  <c r="AV86" i="13"/>
  <c r="AV82" i="13"/>
  <c r="AV100" i="13" s="1"/>
  <c r="AV101" i="13" s="1"/>
  <c r="AV74" i="13"/>
  <c r="AV75" i="13" s="1"/>
  <c r="AV68" i="13"/>
  <c r="AV73" i="13" s="1"/>
  <c r="AV67" i="13"/>
  <c r="AV64" i="13"/>
  <c r="AV60" i="13"/>
  <c r="AV43" i="13"/>
  <c r="AV33" i="13"/>
  <c r="AV54" i="13" s="1"/>
  <c r="AV80" i="13" s="1"/>
  <c r="AV28" i="13"/>
  <c r="AU94" i="13"/>
  <c r="AU93" i="13"/>
  <c r="AU90" i="13"/>
  <c r="AU86" i="13"/>
  <c r="AU82" i="13"/>
  <c r="AU100" i="13" s="1"/>
  <c r="AU101" i="13" s="1"/>
  <c r="AU74" i="13"/>
  <c r="AU75" i="13" s="1"/>
  <c r="AU68" i="13"/>
  <c r="AU73" i="13" s="1"/>
  <c r="AU67" i="13"/>
  <c r="AU64" i="13"/>
  <c r="AU60" i="13"/>
  <c r="AU43" i="13"/>
  <c r="AU33" i="13"/>
  <c r="AU54" i="13" s="1"/>
  <c r="AU80" i="13" s="1"/>
  <c r="AU28" i="13"/>
  <c r="AT94" i="13"/>
  <c r="AT93" i="13"/>
  <c r="AT90" i="13"/>
  <c r="AT86" i="13"/>
  <c r="AT82" i="13"/>
  <c r="AT100" i="13" s="1"/>
  <c r="AT101" i="13" s="1"/>
  <c r="AT74" i="13"/>
  <c r="AT75" i="13" s="1"/>
  <c r="AT68" i="13"/>
  <c r="AT73" i="13" s="1"/>
  <c r="AT67" i="13"/>
  <c r="AT64" i="13"/>
  <c r="AT60" i="13"/>
  <c r="AT43" i="13"/>
  <c r="AT33" i="13"/>
  <c r="AT54" i="13" s="1"/>
  <c r="AT80" i="13" s="1"/>
  <c r="AT28" i="13"/>
  <c r="AS94" i="13"/>
  <c r="AS93" i="13"/>
  <c r="AS90" i="13"/>
  <c r="AS86" i="13"/>
  <c r="AS82" i="13"/>
  <c r="AS100" i="13" s="1"/>
  <c r="AS101" i="13" s="1"/>
  <c r="AS74" i="13"/>
  <c r="AS75" i="13" s="1"/>
  <c r="AS68" i="13"/>
  <c r="AS73" i="13" s="1"/>
  <c r="AS67" i="13"/>
  <c r="AS64" i="13"/>
  <c r="AS60" i="13"/>
  <c r="AS43" i="13"/>
  <c r="AS33" i="13"/>
  <c r="AS54" i="13" s="1"/>
  <c r="AS80" i="13" s="1"/>
  <c r="AS28" i="13"/>
  <c r="AR94" i="13"/>
  <c r="AR93" i="13"/>
  <c r="AR90" i="13"/>
  <c r="AR86" i="13"/>
  <c r="AR82" i="13"/>
  <c r="AR100" i="13" s="1"/>
  <c r="AR101" i="13" s="1"/>
  <c r="AR74" i="13"/>
  <c r="AR75" i="13" s="1"/>
  <c r="AR68" i="13"/>
  <c r="AR73" i="13" s="1"/>
  <c r="AR67" i="13"/>
  <c r="AR64" i="13"/>
  <c r="AR60" i="13"/>
  <c r="AR43" i="13"/>
  <c r="AR33" i="13"/>
  <c r="AR54" i="13" s="1"/>
  <c r="AR80" i="13" s="1"/>
  <c r="AR28" i="13"/>
  <c r="AQ94" i="13"/>
  <c r="AQ93" i="13"/>
  <c r="AQ90" i="13"/>
  <c r="AQ86" i="13"/>
  <c r="AQ82" i="13"/>
  <c r="AQ100" i="13" s="1"/>
  <c r="AQ101" i="13" s="1"/>
  <c r="AQ74" i="13"/>
  <c r="AQ75" i="13" s="1"/>
  <c r="AQ68" i="13"/>
  <c r="AQ73" i="13" s="1"/>
  <c r="AQ67" i="13"/>
  <c r="AQ64" i="13"/>
  <c r="AQ60" i="13"/>
  <c r="AQ43" i="13"/>
  <c r="AQ33" i="13"/>
  <c r="AQ54" i="13" s="1"/>
  <c r="AQ80" i="13" s="1"/>
  <c r="AQ28" i="13"/>
  <c r="AP94" i="13"/>
  <c r="AP93" i="13"/>
  <c r="AP90" i="13"/>
  <c r="AP86" i="13"/>
  <c r="AP82" i="13"/>
  <c r="AP100" i="13" s="1"/>
  <c r="AP101" i="13" s="1"/>
  <c r="AP74" i="13"/>
  <c r="AP75" i="13" s="1"/>
  <c r="AP68" i="13"/>
  <c r="AP73" i="13" s="1"/>
  <c r="AP67" i="13"/>
  <c r="AP64" i="13"/>
  <c r="AP60" i="13"/>
  <c r="AP43" i="13"/>
  <c r="AP33" i="13"/>
  <c r="AP54" i="13" s="1"/>
  <c r="AP80" i="13" s="1"/>
  <c r="AP28" i="13"/>
  <c r="AO94" i="13"/>
  <c r="AO93" i="13"/>
  <c r="AO90" i="13"/>
  <c r="AO86" i="13"/>
  <c r="AO82" i="13"/>
  <c r="AO100" i="13" s="1"/>
  <c r="AO101" i="13" s="1"/>
  <c r="AO74" i="13"/>
  <c r="AO75" i="13" s="1"/>
  <c r="AO68" i="13"/>
  <c r="AO73" i="13" s="1"/>
  <c r="AO67" i="13"/>
  <c r="AO64" i="13"/>
  <c r="AO60" i="13"/>
  <c r="AO43" i="13"/>
  <c r="AO33" i="13"/>
  <c r="AO54" i="13" s="1"/>
  <c r="AO80" i="13" s="1"/>
  <c r="AO28" i="13"/>
  <c r="AN94" i="13"/>
  <c r="AN93" i="13"/>
  <c r="AN90" i="13"/>
  <c r="AN86" i="13"/>
  <c r="AN82" i="13"/>
  <c r="AN100" i="13" s="1"/>
  <c r="AN101" i="13" s="1"/>
  <c r="AN74" i="13"/>
  <c r="AN75" i="13" s="1"/>
  <c r="AN68" i="13"/>
  <c r="AN73" i="13" s="1"/>
  <c r="AN67" i="13"/>
  <c r="AN64" i="13"/>
  <c r="AN60" i="13"/>
  <c r="AN43" i="13"/>
  <c r="AN33" i="13"/>
  <c r="AN54" i="13" s="1"/>
  <c r="AN80" i="13" s="1"/>
  <c r="AN28" i="13"/>
  <c r="AM94" i="13"/>
  <c r="AM93" i="13"/>
  <c r="AM90" i="13"/>
  <c r="AM86" i="13"/>
  <c r="AM82" i="13"/>
  <c r="AM100" i="13" s="1"/>
  <c r="AM101" i="13" s="1"/>
  <c r="AM74" i="13"/>
  <c r="AM75" i="13" s="1"/>
  <c r="AM68" i="13"/>
  <c r="AM73" i="13" s="1"/>
  <c r="AM67" i="13"/>
  <c r="AM64" i="13"/>
  <c r="AM60" i="13"/>
  <c r="AM43" i="13"/>
  <c r="AM33" i="13"/>
  <c r="AM54" i="13" s="1"/>
  <c r="AM80" i="13" s="1"/>
  <c r="AM28" i="13"/>
  <c r="AL94" i="13"/>
  <c r="AL93" i="13"/>
  <c r="AL90" i="13"/>
  <c r="AL86" i="13"/>
  <c r="AL82" i="13"/>
  <c r="AL100" i="13" s="1"/>
  <c r="AL101" i="13" s="1"/>
  <c r="AL74" i="13"/>
  <c r="AL75" i="13" s="1"/>
  <c r="AL68" i="13"/>
  <c r="AL73" i="13" s="1"/>
  <c r="AL67" i="13"/>
  <c r="AL64" i="13"/>
  <c r="AL60" i="13"/>
  <c r="AL43" i="13"/>
  <c r="AL33" i="13"/>
  <c r="AL54" i="13" s="1"/>
  <c r="AL80" i="13" s="1"/>
  <c r="AL28" i="13"/>
  <c r="AK94" i="13"/>
  <c r="AK93" i="13"/>
  <c r="AK90" i="13"/>
  <c r="AK86" i="13"/>
  <c r="AK82" i="13"/>
  <c r="AK100" i="13" s="1"/>
  <c r="AK101" i="13" s="1"/>
  <c r="AK74" i="13"/>
  <c r="AK75" i="13" s="1"/>
  <c r="AK68" i="13"/>
  <c r="AK73" i="13" s="1"/>
  <c r="AK67" i="13"/>
  <c r="AK64" i="13"/>
  <c r="AK60" i="13"/>
  <c r="AK43" i="13"/>
  <c r="AK33" i="13"/>
  <c r="AK54" i="13" s="1"/>
  <c r="AK80" i="13" s="1"/>
  <c r="AK28" i="13"/>
  <c r="AJ94" i="13"/>
  <c r="AJ93" i="13"/>
  <c r="AJ90" i="13"/>
  <c r="AJ86" i="13"/>
  <c r="AJ82" i="13"/>
  <c r="AJ100" i="13" s="1"/>
  <c r="AJ101" i="13" s="1"/>
  <c r="AJ74" i="13"/>
  <c r="AJ75" i="13" s="1"/>
  <c r="AJ68" i="13"/>
  <c r="AJ73" i="13" s="1"/>
  <c r="AJ67" i="13"/>
  <c r="AJ64" i="13"/>
  <c r="AJ60" i="13"/>
  <c r="AJ43" i="13"/>
  <c r="AJ33" i="13"/>
  <c r="AJ54" i="13" s="1"/>
  <c r="AJ80" i="13" s="1"/>
  <c r="AJ28" i="13"/>
  <c r="AI94" i="13"/>
  <c r="AI93" i="13"/>
  <c r="AI90" i="13"/>
  <c r="AI86" i="13"/>
  <c r="AI82" i="13"/>
  <c r="AI100" i="13" s="1"/>
  <c r="AI101" i="13" s="1"/>
  <c r="AI74" i="13"/>
  <c r="AI75" i="13" s="1"/>
  <c r="AI68" i="13"/>
  <c r="AI73" i="13" s="1"/>
  <c r="AI67" i="13"/>
  <c r="AI64" i="13"/>
  <c r="AI60" i="13"/>
  <c r="AI43" i="13"/>
  <c r="AI33" i="13"/>
  <c r="AI54" i="13" s="1"/>
  <c r="AI80" i="13" s="1"/>
  <c r="AI28" i="13"/>
  <c r="AH94" i="13"/>
  <c r="AH93" i="13"/>
  <c r="AH90" i="13"/>
  <c r="AH86" i="13"/>
  <c r="AH82" i="13"/>
  <c r="AH100" i="13" s="1"/>
  <c r="AH101" i="13" s="1"/>
  <c r="AH74" i="13"/>
  <c r="AH75" i="13" s="1"/>
  <c r="AH68" i="13"/>
  <c r="AH73" i="13" s="1"/>
  <c r="AH67" i="13"/>
  <c r="AH64" i="13"/>
  <c r="AH60" i="13"/>
  <c r="AH43" i="13"/>
  <c r="AH33" i="13"/>
  <c r="AH54" i="13" s="1"/>
  <c r="AH80" i="13" s="1"/>
  <c r="AH28" i="13"/>
  <c r="AG94" i="13"/>
  <c r="AG93" i="13"/>
  <c r="AG90" i="13"/>
  <c r="AG86" i="13"/>
  <c r="AG82" i="13"/>
  <c r="AG100" i="13" s="1"/>
  <c r="AG101" i="13" s="1"/>
  <c r="AG74" i="13"/>
  <c r="AG75" i="13" s="1"/>
  <c r="AG68" i="13"/>
  <c r="AG73" i="13" s="1"/>
  <c r="AG67" i="13"/>
  <c r="AG64" i="13"/>
  <c r="AG60" i="13"/>
  <c r="AG43" i="13"/>
  <c r="AG33" i="13"/>
  <c r="AG54" i="13" s="1"/>
  <c r="AG80" i="13" s="1"/>
  <c r="AG28" i="13"/>
  <c r="AF94" i="13"/>
  <c r="AF93" i="13"/>
  <c r="AF90" i="13"/>
  <c r="AF86" i="13"/>
  <c r="AF82" i="13"/>
  <c r="AF100" i="13" s="1"/>
  <c r="AF101" i="13" s="1"/>
  <c r="AF74" i="13"/>
  <c r="AF75" i="13" s="1"/>
  <c r="AF68" i="13"/>
  <c r="AF73" i="13" s="1"/>
  <c r="AF67" i="13"/>
  <c r="AF64" i="13"/>
  <c r="AF60" i="13"/>
  <c r="AF43" i="13"/>
  <c r="AF33" i="13"/>
  <c r="AF54" i="13" s="1"/>
  <c r="AF80" i="13" s="1"/>
  <c r="AF28" i="13"/>
  <c r="AE94" i="13"/>
  <c r="AE93" i="13"/>
  <c r="AE90" i="13"/>
  <c r="AE86" i="13"/>
  <c r="AE82" i="13"/>
  <c r="AE100" i="13" s="1"/>
  <c r="AE101" i="13" s="1"/>
  <c r="AE74" i="13"/>
  <c r="AE75" i="13" s="1"/>
  <c r="AE68" i="13"/>
  <c r="AE73" i="13" s="1"/>
  <c r="AE67" i="13"/>
  <c r="AE64" i="13"/>
  <c r="AE60" i="13"/>
  <c r="AE43" i="13"/>
  <c r="AE33" i="13"/>
  <c r="AE54" i="13" s="1"/>
  <c r="AE80" i="13" s="1"/>
  <c r="AE28" i="13"/>
  <c r="AD94" i="13"/>
  <c r="AD93" i="13"/>
  <c r="AD90" i="13"/>
  <c r="AD86" i="13"/>
  <c r="AD82" i="13"/>
  <c r="AD100" i="13" s="1"/>
  <c r="AD101" i="13" s="1"/>
  <c r="AD74" i="13"/>
  <c r="AD75" i="13" s="1"/>
  <c r="AD68" i="13"/>
  <c r="AD73" i="13" s="1"/>
  <c r="AD67" i="13"/>
  <c r="AD64" i="13"/>
  <c r="AD60" i="13"/>
  <c r="AD43" i="13"/>
  <c r="AD33" i="13"/>
  <c r="AD54" i="13" s="1"/>
  <c r="AD80" i="13" s="1"/>
  <c r="AD28" i="13"/>
  <c r="AC94" i="13"/>
  <c r="AC93" i="13"/>
  <c r="AC90" i="13"/>
  <c r="AC86" i="13"/>
  <c r="AC82" i="13"/>
  <c r="AC100" i="13" s="1"/>
  <c r="AC101" i="13" s="1"/>
  <c r="AC74" i="13"/>
  <c r="AC75" i="13" s="1"/>
  <c r="AC68" i="13"/>
  <c r="AC73" i="13" s="1"/>
  <c r="AC67" i="13"/>
  <c r="AC64" i="13"/>
  <c r="AC60" i="13"/>
  <c r="AC43" i="13"/>
  <c r="AC33" i="13"/>
  <c r="AC54" i="13" s="1"/>
  <c r="AC80" i="13" s="1"/>
  <c r="AC28" i="13"/>
  <c r="AB94" i="13"/>
  <c r="AB93" i="13"/>
  <c r="AB90" i="13"/>
  <c r="AB86" i="13"/>
  <c r="AB82" i="13"/>
  <c r="AB100" i="13" s="1"/>
  <c r="AB101" i="13" s="1"/>
  <c r="AB74" i="13"/>
  <c r="AB75" i="13" s="1"/>
  <c r="AB68" i="13"/>
  <c r="AB73" i="13" s="1"/>
  <c r="AB67" i="13"/>
  <c r="AB64" i="13"/>
  <c r="AB60" i="13"/>
  <c r="AB43" i="13"/>
  <c r="AB33" i="13"/>
  <c r="AB54" i="13" s="1"/>
  <c r="AB80" i="13" s="1"/>
  <c r="AB28" i="13"/>
  <c r="AA94" i="13"/>
  <c r="AA93" i="13"/>
  <c r="AA90" i="13"/>
  <c r="AA86" i="13"/>
  <c r="AA82" i="13"/>
  <c r="AA100" i="13" s="1"/>
  <c r="AA101" i="13" s="1"/>
  <c r="AA74" i="13"/>
  <c r="AA75" i="13" s="1"/>
  <c r="AA68" i="13"/>
  <c r="AA73" i="13" s="1"/>
  <c r="AA67" i="13"/>
  <c r="AA64" i="13"/>
  <c r="AA60" i="13"/>
  <c r="AA43" i="13"/>
  <c r="AA33" i="13"/>
  <c r="AA54" i="13" s="1"/>
  <c r="AA80" i="13" s="1"/>
  <c r="AA28" i="13"/>
  <c r="Z94" i="13"/>
  <c r="Z93" i="13"/>
  <c r="Z90" i="13"/>
  <c r="Z86" i="13"/>
  <c r="Z82" i="13"/>
  <c r="Z100" i="13" s="1"/>
  <c r="Z101" i="13" s="1"/>
  <c r="Z74" i="13"/>
  <c r="Z75" i="13" s="1"/>
  <c r="Z68" i="13"/>
  <c r="Z73" i="13" s="1"/>
  <c r="Z67" i="13"/>
  <c r="Z64" i="13"/>
  <c r="Z60" i="13"/>
  <c r="Z43" i="13"/>
  <c r="Z33" i="13"/>
  <c r="Z54" i="13" s="1"/>
  <c r="Z80" i="13" s="1"/>
  <c r="Z28" i="13"/>
  <c r="Y94" i="13"/>
  <c r="Y93" i="13"/>
  <c r="Y90" i="13"/>
  <c r="Y86" i="13"/>
  <c r="Y82" i="13"/>
  <c r="Y100" i="13" s="1"/>
  <c r="Y101" i="13" s="1"/>
  <c r="Y74" i="13"/>
  <c r="Y75" i="13" s="1"/>
  <c r="Y68" i="13"/>
  <c r="Y73" i="13" s="1"/>
  <c r="Y67" i="13"/>
  <c r="Y64" i="13"/>
  <c r="Y60" i="13"/>
  <c r="Y43" i="13"/>
  <c r="Y33" i="13"/>
  <c r="Y54" i="13" s="1"/>
  <c r="Y80" i="13" s="1"/>
  <c r="Y28" i="13"/>
  <c r="X94" i="13"/>
  <c r="X93" i="13"/>
  <c r="X90" i="13"/>
  <c r="X86" i="13"/>
  <c r="X82" i="13"/>
  <c r="X100" i="13" s="1"/>
  <c r="X101" i="13" s="1"/>
  <c r="X74" i="13"/>
  <c r="X75" i="13" s="1"/>
  <c r="X68" i="13"/>
  <c r="X73" i="13" s="1"/>
  <c r="X67" i="13"/>
  <c r="X64" i="13"/>
  <c r="X60" i="13"/>
  <c r="X43" i="13"/>
  <c r="X33" i="13"/>
  <c r="X54" i="13" s="1"/>
  <c r="X80" i="13" s="1"/>
  <c r="X28" i="13"/>
  <c r="W94" i="13"/>
  <c r="W93" i="13"/>
  <c r="W90" i="13"/>
  <c r="W86" i="13"/>
  <c r="W82" i="13"/>
  <c r="W100" i="13" s="1"/>
  <c r="W101" i="13" s="1"/>
  <c r="W74" i="13"/>
  <c r="W75" i="13" s="1"/>
  <c r="W68" i="13"/>
  <c r="W73" i="13" s="1"/>
  <c r="W67" i="13"/>
  <c r="W64" i="13"/>
  <c r="W60" i="13"/>
  <c r="W43" i="13"/>
  <c r="W33" i="13"/>
  <c r="W54" i="13" s="1"/>
  <c r="W80" i="13" s="1"/>
  <c r="W28" i="13"/>
  <c r="V94" i="13"/>
  <c r="V93" i="13"/>
  <c r="V90" i="13"/>
  <c r="V86" i="13"/>
  <c r="V82" i="13"/>
  <c r="V100" i="13" s="1"/>
  <c r="V101" i="13" s="1"/>
  <c r="V74" i="13"/>
  <c r="V75" i="13" s="1"/>
  <c r="V68" i="13"/>
  <c r="V73" i="13" s="1"/>
  <c r="V67" i="13"/>
  <c r="V64" i="13"/>
  <c r="V60" i="13"/>
  <c r="V43" i="13"/>
  <c r="V33" i="13"/>
  <c r="V54" i="13" s="1"/>
  <c r="V80" i="13" s="1"/>
  <c r="V28" i="13"/>
  <c r="U94" i="13"/>
  <c r="U93" i="13"/>
  <c r="U90" i="13"/>
  <c r="U86" i="13"/>
  <c r="U82" i="13"/>
  <c r="U100" i="13" s="1"/>
  <c r="U101" i="13" s="1"/>
  <c r="U74" i="13"/>
  <c r="U75" i="13" s="1"/>
  <c r="U68" i="13"/>
  <c r="U73" i="13" s="1"/>
  <c r="U67" i="13"/>
  <c r="U64" i="13"/>
  <c r="U60" i="13"/>
  <c r="U43" i="13"/>
  <c r="U33" i="13"/>
  <c r="U54" i="13" s="1"/>
  <c r="U80" i="13" s="1"/>
  <c r="U28" i="13"/>
  <c r="T94" i="13"/>
  <c r="T93" i="13"/>
  <c r="T90" i="13"/>
  <c r="T86" i="13"/>
  <c r="T82" i="13"/>
  <c r="T100" i="13" s="1"/>
  <c r="T101" i="13" s="1"/>
  <c r="T74" i="13"/>
  <c r="T75" i="13" s="1"/>
  <c r="T68" i="13"/>
  <c r="T73" i="13" s="1"/>
  <c r="T67" i="13"/>
  <c r="T64" i="13"/>
  <c r="T60" i="13"/>
  <c r="T43" i="13"/>
  <c r="T33" i="13"/>
  <c r="T54" i="13" s="1"/>
  <c r="T80" i="13" s="1"/>
  <c r="T28" i="13"/>
  <c r="S94" i="13"/>
  <c r="S93" i="13"/>
  <c r="S90" i="13"/>
  <c r="S86" i="13"/>
  <c r="S82" i="13"/>
  <c r="S100" i="13" s="1"/>
  <c r="S101" i="13" s="1"/>
  <c r="S74" i="13"/>
  <c r="S75" i="13" s="1"/>
  <c r="S68" i="13"/>
  <c r="S73" i="13" s="1"/>
  <c r="S67" i="13"/>
  <c r="S64" i="13"/>
  <c r="S60" i="13"/>
  <c r="S43" i="13"/>
  <c r="S33" i="13"/>
  <c r="S54" i="13" s="1"/>
  <c r="S80" i="13" s="1"/>
  <c r="S28" i="13"/>
  <c r="R94" i="13"/>
  <c r="R93" i="13"/>
  <c r="R90" i="13"/>
  <c r="R86" i="13"/>
  <c r="R82" i="13"/>
  <c r="R100" i="13" s="1"/>
  <c r="R101" i="13" s="1"/>
  <c r="R74" i="13"/>
  <c r="R75" i="13" s="1"/>
  <c r="R68" i="13"/>
  <c r="R73" i="13" s="1"/>
  <c r="R67" i="13"/>
  <c r="R64" i="13"/>
  <c r="R60" i="13"/>
  <c r="R43" i="13"/>
  <c r="R33" i="13"/>
  <c r="R54" i="13" s="1"/>
  <c r="R80" i="13" s="1"/>
  <c r="R28" i="13"/>
  <c r="Q94" i="13"/>
  <c r="Q93" i="13"/>
  <c r="Q90" i="13"/>
  <c r="Q86" i="13"/>
  <c r="Q82" i="13"/>
  <c r="Q100" i="13" s="1"/>
  <c r="Q101" i="13" s="1"/>
  <c r="Q74" i="13"/>
  <c r="Q75" i="13" s="1"/>
  <c r="Q68" i="13"/>
  <c r="Q73" i="13" s="1"/>
  <c r="Q67" i="13"/>
  <c r="Q64" i="13"/>
  <c r="Q60" i="13"/>
  <c r="Q43" i="13"/>
  <c r="Q33" i="13"/>
  <c r="Q54" i="13" s="1"/>
  <c r="Q80" i="13" s="1"/>
  <c r="Q28" i="13"/>
  <c r="P94" i="13"/>
  <c r="P93" i="13"/>
  <c r="P90" i="13"/>
  <c r="P86" i="13"/>
  <c r="P82" i="13"/>
  <c r="P100" i="13" s="1"/>
  <c r="P101" i="13" s="1"/>
  <c r="P74" i="13"/>
  <c r="P75" i="13" s="1"/>
  <c r="P68" i="13"/>
  <c r="P73" i="13" s="1"/>
  <c r="P67" i="13"/>
  <c r="P64" i="13"/>
  <c r="P60" i="13"/>
  <c r="P43" i="13"/>
  <c r="P33" i="13"/>
  <c r="P54" i="13" s="1"/>
  <c r="P80" i="13" s="1"/>
  <c r="P28" i="13"/>
  <c r="O94" i="13"/>
  <c r="O93" i="13"/>
  <c r="O90" i="13"/>
  <c r="O86" i="13"/>
  <c r="O82" i="13"/>
  <c r="O100" i="13" s="1"/>
  <c r="O101" i="13" s="1"/>
  <c r="O74" i="13"/>
  <c r="O75" i="13" s="1"/>
  <c r="O68" i="13"/>
  <c r="O73" i="13" s="1"/>
  <c r="O67" i="13"/>
  <c r="O64" i="13"/>
  <c r="O60" i="13"/>
  <c r="O43" i="13"/>
  <c r="O33" i="13"/>
  <c r="O54" i="13" s="1"/>
  <c r="O80" i="13" s="1"/>
  <c r="O28" i="13"/>
  <c r="N94" i="13"/>
  <c r="N93" i="13"/>
  <c r="N90" i="13"/>
  <c r="N86" i="13"/>
  <c r="N82" i="13"/>
  <c r="N100" i="13" s="1"/>
  <c r="N101" i="13" s="1"/>
  <c r="N74" i="13"/>
  <c r="N75" i="13" s="1"/>
  <c r="N68" i="13"/>
  <c r="N73" i="13" s="1"/>
  <c r="N67" i="13"/>
  <c r="N64" i="13"/>
  <c r="N60" i="13"/>
  <c r="N43" i="13"/>
  <c r="N33" i="13"/>
  <c r="N54" i="13" s="1"/>
  <c r="N80" i="13" s="1"/>
  <c r="N28" i="13"/>
  <c r="M94" i="13"/>
  <c r="M93" i="13"/>
  <c r="M90" i="13"/>
  <c r="M86" i="13"/>
  <c r="M82" i="13"/>
  <c r="M100" i="13" s="1"/>
  <c r="M101" i="13" s="1"/>
  <c r="M74" i="13"/>
  <c r="M75" i="13" s="1"/>
  <c r="M68" i="13"/>
  <c r="M73" i="13" s="1"/>
  <c r="M67" i="13"/>
  <c r="M64" i="13"/>
  <c r="M60" i="13"/>
  <c r="M43" i="13"/>
  <c r="M33" i="13"/>
  <c r="M54" i="13" s="1"/>
  <c r="M80" i="13" s="1"/>
  <c r="M28" i="13"/>
  <c r="L94" i="13"/>
  <c r="L93" i="13"/>
  <c r="L90" i="13"/>
  <c r="L86" i="13"/>
  <c r="L82" i="13"/>
  <c r="L100" i="13" s="1"/>
  <c r="L101" i="13" s="1"/>
  <c r="L74" i="13"/>
  <c r="L75" i="13" s="1"/>
  <c r="L68" i="13"/>
  <c r="L73" i="13" s="1"/>
  <c r="L67" i="13"/>
  <c r="L64" i="13"/>
  <c r="L60" i="13"/>
  <c r="L43" i="13"/>
  <c r="L33" i="13"/>
  <c r="L54" i="13" s="1"/>
  <c r="L80" i="13" s="1"/>
  <c r="L28" i="13"/>
  <c r="K94" i="13"/>
  <c r="K93" i="13"/>
  <c r="K90" i="13"/>
  <c r="K86" i="13"/>
  <c r="K82" i="13"/>
  <c r="K100" i="13" s="1"/>
  <c r="K101" i="13" s="1"/>
  <c r="K74" i="13"/>
  <c r="K75" i="13" s="1"/>
  <c r="K68" i="13"/>
  <c r="K73" i="13" s="1"/>
  <c r="K67" i="13"/>
  <c r="K64" i="13"/>
  <c r="K60" i="13"/>
  <c r="K43" i="13"/>
  <c r="K33" i="13"/>
  <c r="K54" i="13" s="1"/>
  <c r="K80" i="13" s="1"/>
  <c r="K28" i="13"/>
  <c r="J94" i="13"/>
  <c r="J93" i="13"/>
  <c r="J90" i="13"/>
  <c r="J86" i="13"/>
  <c r="J82" i="13"/>
  <c r="J100" i="13" s="1"/>
  <c r="J101" i="13" s="1"/>
  <c r="J74" i="13"/>
  <c r="J75" i="13" s="1"/>
  <c r="J68" i="13"/>
  <c r="J73" i="13" s="1"/>
  <c r="J67" i="13"/>
  <c r="J64" i="13"/>
  <c r="J60" i="13"/>
  <c r="J43" i="13"/>
  <c r="J33" i="13"/>
  <c r="J54" i="13" s="1"/>
  <c r="J80" i="13" s="1"/>
  <c r="J28" i="13"/>
  <c r="I94" i="13"/>
  <c r="I93" i="13"/>
  <c r="I90" i="13"/>
  <c r="I86" i="13"/>
  <c r="I82" i="13"/>
  <c r="I100" i="13" s="1"/>
  <c r="I101" i="13" s="1"/>
  <c r="I74" i="13"/>
  <c r="I75" i="13" s="1"/>
  <c r="I68" i="13"/>
  <c r="I73" i="13" s="1"/>
  <c r="I67" i="13"/>
  <c r="I64" i="13"/>
  <c r="I60" i="13"/>
  <c r="I43" i="13"/>
  <c r="I33" i="13"/>
  <c r="I54" i="13" s="1"/>
  <c r="I80" i="13" s="1"/>
  <c r="I28" i="13"/>
  <c r="H94" i="13"/>
  <c r="H93" i="13"/>
  <c r="H90" i="13"/>
  <c r="H86" i="13"/>
  <c r="H82" i="13"/>
  <c r="H100" i="13" s="1"/>
  <c r="H101" i="13" s="1"/>
  <c r="H74" i="13"/>
  <c r="H75" i="13" s="1"/>
  <c r="H68" i="13"/>
  <c r="H73" i="13" s="1"/>
  <c r="H67" i="13"/>
  <c r="H64" i="13"/>
  <c r="H60" i="13"/>
  <c r="H43" i="13"/>
  <c r="H33" i="13"/>
  <c r="H54" i="13" s="1"/>
  <c r="H80" i="13" s="1"/>
  <c r="H28" i="13"/>
  <c r="G94" i="13"/>
  <c r="G93" i="13"/>
  <c r="G90" i="13"/>
  <c r="G86" i="13"/>
  <c r="G82" i="13"/>
  <c r="G100" i="13" s="1"/>
  <c r="G101" i="13" s="1"/>
  <c r="G74" i="13"/>
  <c r="G75" i="13" s="1"/>
  <c r="G68" i="13"/>
  <c r="G73" i="13" s="1"/>
  <c r="G67" i="13"/>
  <c r="G64" i="13"/>
  <c r="G60" i="13"/>
  <c r="G43" i="13"/>
  <c r="G33" i="13"/>
  <c r="G54" i="13" s="1"/>
  <c r="G80" i="13" s="1"/>
  <c r="G28" i="13"/>
  <c r="F67" i="13" l="1"/>
  <c r="F62" i="13"/>
  <c r="F64" i="13" s="1"/>
  <c r="F43" i="13"/>
  <c r="F74" i="13"/>
  <c r="F88" i="13"/>
  <c r="F90" i="13" s="1"/>
  <c r="F85" i="13"/>
  <c r="F86" i="13" s="1"/>
  <c r="F94" i="13"/>
  <c r="F68" i="13"/>
  <c r="F73" i="13" s="1"/>
  <c r="F58" i="13"/>
  <c r="F60" i="13" s="1"/>
  <c r="F81" i="13"/>
  <c r="DU99" i="13"/>
  <c r="DV99" i="13"/>
  <c r="F82" i="13"/>
  <c r="DS99" i="13"/>
  <c r="DT99" i="13"/>
  <c r="DQ99" i="13"/>
  <c r="DR99" i="13"/>
  <c r="DP99" i="13"/>
  <c r="DO99" i="13"/>
  <c r="DN99" i="13"/>
  <c r="DM99" i="13"/>
  <c r="DL99" i="13"/>
  <c r="DK99" i="13"/>
  <c r="DJ99" i="13"/>
  <c r="DI99" i="13"/>
  <c r="DH99" i="13"/>
  <c r="DG99" i="13"/>
  <c r="DF99" i="13"/>
  <c r="DE99" i="13"/>
  <c r="DD99" i="13"/>
  <c r="DC99" i="13"/>
  <c r="DA99" i="13"/>
  <c r="DB99" i="13"/>
  <c r="CZ99" i="13"/>
  <c r="CX99" i="13"/>
  <c r="CW99" i="13"/>
  <c r="CY99" i="13"/>
  <c r="CV99" i="13"/>
  <c r="CU99" i="13"/>
  <c r="CR99" i="13"/>
  <c r="CT99" i="13"/>
  <c r="CS99" i="13"/>
  <c r="CO99" i="13"/>
  <c r="CQ99" i="13"/>
  <c r="CP99" i="13"/>
  <c r="CN99" i="13"/>
  <c r="CM99" i="13"/>
  <c r="CL99" i="13"/>
  <c r="CK99" i="13"/>
  <c r="CJ99" i="13"/>
  <c r="CI99" i="13"/>
  <c r="CH99" i="13"/>
  <c r="CG99" i="13"/>
  <c r="CE99" i="13"/>
  <c r="CF99" i="13"/>
  <c r="CD99" i="13"/>
  <c r="CB99" i="13"/>
  <c r="CC99" i="13"/>
  <c r="CA99" i="13"/>
  <c r="BZ99" i="13"/>
  <c r="BY99" i="13"/>
  <c r="BW99" i="13"/>
  <c r="BX99" i="13"/>
  <c r="BV99" i="13"/>
  <c r="BU99" i="13"/>
  <c r="BS99" i="13"/>
  <c r="BT99" i="13"/>
  <c r="BR99" i="13"/>
  <c r="BQ99" i="13"/>
  <c r="BP99" i="13"/>
  <c r="BO99" i="13"/>
  <c r="BN99" i="13"/>
  <c r="BM99" i="13"/>
  <c r="BK99" i="13"/>
  <c r="BL99" i="13"/>
  <c r="BJ99" i="13"/>
  <c r="BI99" i="13"/>
  <c r="BG99" i="13"/>
  <c r="BH99" i="13"/>
  <c r="BF99" i="13"/>
  <c r="BE99" i="13"/>
  <c r="BC99" i="13"/>
  <c r="BD99" i="13"/>
  <c r="BB99" i="13"/>
  <c r="BA99" i="13"/>
  <c r="AZ99" i="13"/>
  <c r="AY99" i="13"/>
  <c r="AX99" i="13"/>
  <c r="AV99" i="13"/>
  <c r="AW99" i="13"/>
  <c r="AT99" i="13"/>
  <c r="AU99" i="13"/>
  <c r="AR99" i="13"/>
  <c r="AS99" i="13"/>
  <c r="AQ99" i="13"/>
  <c r="AO99" i="13"/>
  <c r="AP99" i="13"/>
  <c r="AN99" i="13"/>
  <c r="AM99" i="13"/>
  <c r="AK99" i="13"/>
  <c r="AL99" i="13"/>
  <c r="AJ99" i="13"/>
  <c r="AH99" i="13"/>
  <c r="AI99" i="13"/>
  <c r="AG99" i="13"/>
  <c r="AF99" i="13"/>
  <c r="AE99" i="13"/>
  <c r="AD99" i="13"/>
  <c r="AC99" i="13"/>
  <c r="AB99" i="13"/>
  <c r="AA99" i="13"/>
  <c r="Y99" i="13"/>
  <c r="Z99" i="13"/>
  <c r="X99" i="13"/>
  <c r="W99" i="13"/>
  <c r="U99" i="13"/>
  <c r="V99" i="13"/>
  <c r="T99" i="13"/>
  <c r="S99" i="13"/>
  <c r="R99" i="13"/>
  <c r="Q99" i="13"/>
  <c r="P99" i="13"/>
  <c r="O99" i="13"/>
  <c r="M99" i="13"/>
  <c r="N99" i="13"/>
  <c r="L99" i="13"/>
  <c r="K99" i="13"/>
  <c r="I99" i="13"/>
  <c r="J99" i="13"/>
  <c r="H99" i="13"/>
  <c r="G99" i="13"/>
  <c r="F75" i="13" l="1"/>
  <c r="Q4" i="13"/>
  <c r="Q3" i="13"/>
  <c r="X37" i="1" l="1"/>
  <c r="H5" i="13" l="1"/>
  <c r="H4" i="13"/>
  <c r="H3" i="13"/>
  <c r="I3" i="15"/>
  <c r="Q3" i="15"/>
  <c r="I4" i="15"/>
  <c r="Q4" i="15"/>
  <c r="I5" i="15"/>
  <c r="G33" i="15"/>
  <c r="G54" i="15" s="1"/>
  <c r="G80" i="15" s="1"/>
  <c r="G43" i="15"/>
  <c r="F47" i="15"/>
  <c r="F48" i="15"/>
  <c r="F54" i="15"/>
  <c r="F80" i="15" s="1"/>
  <c r="F55" i="15"/>
  <c r="B56" i="15"/>
  <c r="F56" i="15"/>
  <c r="F44" i="15" s="1"/>
  <c r="B57" i="15"/>
  <c r="G60" i="15"/>
  <c r="B61" i="15"/>
  <c r="F61" i="15"/>
  <c r="F62" i="15" s="1"/>
  <c r="G64" i="15"/>
  <c r="F65" i="15"/>
  <c r="F66" i="15"/>
  <c r="G67" i="15"/>
  <c r="B68" i="15"/>
  <c r="G68" i="15"/>
  <c r="G73" i="15" s="1"/>
  <c r="F70" i="15"/>
  <c r="F71" i="15"/>
  <c r="G74" i="15"/>
  <c r="G75" i="15" s="1"/>
  <c r="B82" i="15"/>
  <c r="G82" i="15"/>
  <c r="F82" i="15" s="1"/>
  <c r="G86" i="15"/>
  <c r="F87" i="15"/>
  <c r="F89" i="15" s="1"/>
  <c r="G90" i="15"/>
  <c r="F91" i="15"/>
  <c r="F92" i="15"/>
  <c r="G93" i="15"/>
  <c r="G94" i="15"/>
  <c r="F96" i="15"/>
  <c r="F97" i="15"/>
  <c r="B56" i="13"/>
  <c r="A56" i="13" s="1"/>
  <c r="B57" i="13"/>
  <c r="A57" i="13" s="1"/>
  <c r="B61" i="13"/>
  <c r="A61" i="13" s="1"/>
  <c r="B68" i="13"/>
  <c r="A68" i="13" s="1"/>
  <c r="B82" i="13"/>
  <c r="G12" i="1"/>
  <c r="G14" i="1"/>
  <c r="B55" i="15" s="1"/>
  <c r="G15" i="1"/>
  <c r="B73" i="15" s="1"/>
  <c r="G16" i="1"/>
  <c r="B74" i="13" s="1"/>
  <c r="A74" i="13" s="1"/>
  <c r="L21" i="1"/>
  <c r="H24" i="1"/>
  <c r="H25" i="1"/>
  <c r="H26" i="1"/>
  <c r="H27" i="1"/>
  <c r="H28" i="1"/>
  <c r="H29" i="1"/>
  <c r="T32" i="1"/>
  <c r="X35" i="1"/>
  <c r="B96" i="13"/>
  <c r="A96" i="13" s="1"/>
  <c r="O21" i="1" l="1"/>
  <c r="T21" i="1" s="1"/>
  <c r="G99" i="15"/>
  <c r="A82" i="13"/>
  <c r="G100" i="15"/>
  <c r="G101" i="15" s="1"/>
  <c r="F83" i="15"/>
  <c r="F85" i="15" s="1"/>
  <c r="F94" i="15"/>
  <c r="F99" i="15" s="1"/>
  <c r="F68" i="15"/>
  <c r="F73" i="15" s="1"/>
  <c r="A73" i="15" s="1"/>
  <c r="H30" i="1"/>
  <c r="H15" i="1"/>
  <c r="B73" i="13"/>
  <c r="A73" i="13" s="1"/>
  <c r="B74" i="15"/>
  <c r="H16" i="1"/>
  <c r="H14" i="1"/>
  <c r="F38" i="15"/>
  <c r="F74" i="15"/>
  <c r="F75" i="15" s="1"/>
  <c r="F67" i="15"/>
  <c r="B96" i="15"/>
  <c r="A96" i="15" s="1"/>
  <c r="F88" i="15"/>
  <c r="F90" i="15" s="1"/>
  <c r="F93" i="15"/>
  <c r="F100" i="15"/>
  <c r="A61" i="15"/>
  <c r="F35" i="15"/>
  <c r="F81" i="15"/>
  <c r="G28" i="15"/>
  <c r="F57" i="15"/>
  <c r="A57" i="15" s="1"/>
  <c r="A56" i="15"/>
  <c r="A82" i="15"/>
  <c r="F63" i="15"/>
  <c r="F64" i="15" s="1"/>
  <c r="F36" i="15"/>
  <c r="A55" i="15"/>
  <c r="F40" i="15"/>
  <c r="F43" i="15"/>
  <c r="F41" i="15"/>
  <c r="F34" i="15"/>
  <c r="F42" i="15"/>
  <c r="F39" i="15"/>
  <c r="F37" i="15"/>
  <c r="O26" i="1" l="1"/>
  <c r="R26" i="1" s="1"/>
  <c r="P24" i="1"/>
  <c r="S24" i="1" s="1"/>
  <c r="O25" i="1"/>
  <c r="R25" i="1" s="1"/>
  <c r="O27" i="1"/>
  <c r="R27" i="1" s="1"/>
  <c r="O24" i="1"/>
  <c r="R24" i="1" s="1"/>
  <c r="O28" i="1"/>
  <c r="R28" i="1" s="1"/>
  <c r="P25" i="1"/>
  <c r="S25" i="1" s="1"/>
  <c r="O29" i="1"/>
  <c r="R29" i="1" s="1"/>
  <c r="P28" i="1"/>
  <c r="S28" i="1" s="1"/>
  <c r="P29" i="1"/>
  <c r="S29" i="1" s="1"/>
  <c r="P27" i="1"/>
  <c r="S27" i="1" s="1"/>
  <c r="P26" i="1"/>
  <c r="S26" i="1" s="1"/>
  <c r="A68" i="15"/>
  <c r="F84" i="15"/>
  <c r="F86" i="15" s="1"/>
  <c r="A74" i="15"/>
  <c r="F101" i="15"/>
  <c r="F59" i="15"/>
  <c r="F58" i="15"/>
  <c r="F100" i="13"/>
  <c r="F101" i="13" s="1"/>
  <c r="F99" i="13"/>
  <c r="T24" i="1" l="1"/>
  <c r="T29" i="1"/>
  <c r="T27" i="1"/>
  <c r="T25" i="1"/>
  <c r="T28" i="1"/>
  <c r="T26" i="1"/>
  <c r="Q29" i="1"/>
  <c r="Q25" i="1"/>
  <c r="Q26" i="1"/>
  <c r="Q24" i="1"/>
  <c r="Q28" i="1"/>
  <c r="Q27" i="1"/>
  <c r="F60" i="15"/>
  <c r="T30" i="1" l="1"/>
  <c r="Q30" i="1"/>
  <c r="V32" i="1" s="1"/>
  <c r="B87" i="15" s="1"/>
  <c r="A87" i="15" s="1"/>
  <c r="X32" i="1" l="1"/>
  <c r="B87" i="13" s="1"/>
  <c r="A87" i="13" s="1"/>
  <c r="V34" i="1"/>
  <c r="V36" i="1" s="1"/>
  <c r="X36" i="1" s="1"/>
  <c r="B100" i="15"/>
  <c r="A100" i="15" s="1"/>
  <c r="B100" i="13"/>
  <c r="A100" i="13" s="1"/>
  <c r="V38" i="1" l="1"/>
  <c r="B99" i="15" s="1"/>
  <c r="A99" i="15" s="1"/>
  <c r="X34" i="1"/>
  <c r="X38" i="1" l="1"/>
  <c r="B94" i="15" s="1"/>
  <c r="A94" i="15" s="1"/>
  <c r="V43" i="1"/>
  <c r="X43" i="1" s="1"/>
  <c r="B99" i="13"/>
  <c r="A99" i="13" s="1"/>
  <c r="B94" i="13" l="1"/>
  <c r="A94" i="13" s="1"/>
  <c r="V42" i="1"/>
  <c r="X42" i="1" s="1"/>
  <c r="V41" i="1"/>
  <c r="X41" i="1" s="1"/>
  <c r="V45" i="1"/>
  <c r="V46" i="1" s="1"/>
  <c r="V40" i="1"/>
  <c r="X40" i="1" s="1"/>
  <c r="B81" i="15"/>
  <c r="A81" i="15" s="1"/>
  <c r="B83" i="15"/>
  <c r="A83" i="15" s="1"/>
  <c r="B83" i="13"/>
  <c r="A83" i="13" s="1"/>
</calcChain>
</file>

<file path=xl/sharedStrings.xml><?xml version="1.0" encoding="utf-8"?>
<sst xmlns="http://schemas.openxmlformats.org/spreadsheetml/2006/main" count="1099" uniqueCount="357">
  <si>
    <t>Professional</t>
  </si>
  <si>
    <t>Capitation</t>
  </si>
  <si>
    <t>Product</t>
  </si>
  <si>
    <t>Total</t>
  </si>
  <si>
    <t>Market Level Calculations (Same for all Plans)</t>
  </si>
  <si>
    <t>Utilization per 1,000</t>
  </si>
  <si>
    <t>Projected Member Months</t>
  </si>
  <si>
    <t>Average Cost/Service</t>
  </si>
  <si>
    <t>Allowed Claims PMPM</t>
  </si>
  <si>
    <t>Company Legal Name:</t>
  </si>
  <si>
    <t>HIOS Issuer ID:</t>
  </si>
  <si>
    <t>Metal:</t>
  </si>
  <si>
    <t>Plan ID:</t>
  </si>
  <si>
    <t>Plan Type:</t>
  </si>
  <si>
    <t>Benefit Category</t>
  </si>
  <si>
    <t>State:</t>
  </si>
  <si>
    <t>WI</t>
  </si>
  <si>
    <t xml:space="preserve">Market: </t>
  </si>
  <si>
    <t>Plan Name</t>
  </si>
  <si>
    <t>Utilization Description</t>
  </si>
  <si>
    <t>to</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</si>
  <si>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</si>
  <si>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Administrative Expense Load</t>
  </si>
  <si>
    <t>Profit &amp; Risk Load</t>
  </si>
  <si>
    <t>Product-Plan Data Collection</t>
  </si>
  <si>
    <t>Effective Date of Rate Change(s):</t>
  </si>
  <si>
    <t>Product/Plan Level Calculations</t>
  </si>
  <si>
    <t>Product ID:</t>
  </si>
  <si>
    <t>Exchange Plan?</t>
  </si>
  <si>
    <t>Inpatient</t>
  </si>
  <si>
    <t>Outpatient</t>
  </si>
  <si>
    <t xml:space="preserve">Prescription Drug </t>
  </si>
  <si>
    <t>Other</t>
  </si>
  <si>
    <t>Administration</t>
  </si>
  <si>
    <t>Risk &amp; Profit Charge</t>
  </si>
  <si>
    <t>Member Months</t>
  </si>
  <si>
    <t>Average Current Rate PMPM</t>
  </si>
  <si>
    <t>Other Medical</t>
  </si>
  <si>
    <t>Outpatient Hospital</t>
  </si>
  <si>
    <t>Paid to Allowed Average Factor in Projection Period</t>
  </si>
  <si>
    <t>Section I:</t>
  </si>
  <si>
    <t>Prescription Drug</t>
  </si>
  <si>
    <t>Section II: Components of Premium Increase (PMPM Dollar Amount above Current Average Rate PMPM)</t>
  </si>
  <si>
    <t>Total Rate Increase</t>
  </si>
  <si>
    <t>Premium Information</t>
  </si>
  <si>
    <t>Claims Information</t>
  </si>
  <si>
    <r>
      <t xml:space="preserve">Total Premium </t>
    </r>
    <r>
      <rPr>
        <sz val="11"/>
        <rFont val="Calibri"/>
        <family val="2"/>
      </rPr>
      <t>(TP)</t>
    </r>
  </si>
  <si>
    <t>Experience Period:</t>
  </si>
  <si>
    <t>Premiums (net of MLR Rebate) in Experience Period:</t>
  </si>
  <si>
    <t>Experience Period Member Months</t>
  </si>
  <si>
    <t>% of Prem</t>
  </si>
  <si>
    <t xml:space="preserve"> PMPM</t>
  </si>
  <si>
    <t>Projection Period:</t>
  </si>
  <si>
    <t>Mid-point to Mid-point, Experience to Projection:</t>
  </si>
  <si>
    <t xml:space="preserve"> months</t>
  </si>
  <si>
    <t>Adj't.  from Experience to Projection Period</t>
  </si>
  <si>
    <t>Pop'l risk Morbidity</t>
  </si>
  <si>
    <t>Credibility Manual</t>
  </si>
  <si>
    <t>PMPM</t>
  </si>
  <si>
    <t>After Credibility</t>
  </si>
  <si>
    <t>Projected ACA reinsurance recoveries, net of rein prem, PMPM</t>
  </si>
  <si>
    <t>Projected Incurred Claims, before ACA rein &amp; Risk Adj't,  PMPM</t>
  </si>
  <si>
    <t>Projected Incurred Claims</t>
  </si>
  <si>
    <t>Single Risk Pool Gross Premium Avg. Rate, PMPM</t>
  </si>
  <si>
    <t>% increase over Experience Period</t>
  </si>
  <si>
    <t>% Increase, annualized:</t>
  </si>
  <si>
    <t>state mandated benefits portion of TP that are other than EHB</t>
  </si>
  <si>
    <t>Other benefits portion of TP</t>
  </si>
  <si>
    <t>Total Allowed Claims (TAC)</t>
  </si>
  <si>
    <t>state mandated benefits portion of TAC that are other than EHB</t>
  </si>
  <si>
    <t>Other benefits portion of TAC</t>
  </si>
  <si>
    <t>Section III: Experience Period Information</t>
  </si>
  <si>
    <t>Section IV: Projected (12 months following effective date)</t>
  </si>
  <si>
    <t xml:space="preserve">     Projected Incurred Claims, before reinsurance recoveries, net of rein prem, PMPM</t>
  </si>
  <si>
    <t xml:space="preserve">Incurred Claims in Experience Period </t>
  </si>
  <si>
    <t>Allowed Claims:</t>
  </si>
  <si>
    <t>Util</t>
  </si>
  <si>
    <t xml:space="preserve">Cost         </t>
  </si>
  <si>
    <t>Annualized Trend Factors</t>
  </si>
  <si>
    <t xml:space="preserve">Experience Period </t>
  </si>
  <si>
    <t>Projected Period Totals</t>
  </si>
  <si>
    <t>Rate Change % (over prior filing)</t>
  </si>
  <si>
    <t>Cum'tive Rate Change %  (over 12 mos prior)</t>
  </si>
  <si>
    <t>Proj'd Per Rate Change %  (over Exper. Period)</t>
  </si>
  <si>
    <t>Total Incurred claims, payable with issuer funds</t>
  </si>
  <si>
    <t>Portion of above payable by HHS's funds on behalf of insured person, in dollars</t>
  </si>
  <si>
    <t>Portion of above payable by HHS on behalf of insured person, as %</t>
  </si>
  <si>
    <t>Incurred Claims  PMPM</t>
  </si>
  <si>
    <t>EHB portion of Allowed Claims, PMPM</t>
  </si>
  <si>
    <t>Wsht 1 Total</t>
  </si>
  <si>
    <t>Projections, before credibility Adjustment</t>
  </si>
  <si>
    <t>Effective Date of Proposed Rates</t>
  </si>
  <si>
    <t>Warning Alert</t>
  </si>
  <si>
    <t xml:space="preserve">   Net Amt of Risk Adj</t>
  </si>
  <si>
    <t xml:space="preserve">   Net Amt of Rein</t>
  </si>
  <si>
    <t>on Actual Experience Allowed</t>
  </si>
  <si>
    <t>Section II: Allowed Claims, PMPM basis</t>
  </si>
  <si>
    <t>Section III: Projected Experience:</t>
  </si>
  <si>
    <t>Projected Risk Adjustments PMPM</t>
  </si>
  <si>
    <t>Member Cost Share Increase</t>
  </si>
  <si>
    <t xml:space="preserve"> Allowed Claims which are not the issuer's obligation:</t>
  </si>
  <si>
    <t xml:space="preserve"> Allowed Claims which are not the issuer's obligation</t>
  </si>
  <si>
    <t>Index Rate of Experience Period</t>
  </si>
  <si>
    <t>Taxes &amp; Fees</t>
  </si>
  <si>
    <t>Index Rate for Projection Period</t>
  </si>
  <si>
    <t>AV Pricing Value</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</si>
  <si>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</si>
  <si>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</si>
  <si>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</si>
  <si>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</si>
  <si>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</si>
  <si>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</si>
  <si>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</si>
  <si>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</si>
  <si>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</si>
  <si>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</si>
  <si>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</si>
  <si>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</si>
  <si>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</si>
  <si>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</si>
  <si>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</si>
  <si>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</si>
  <si>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</si>
  <si>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</si>
  <si>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</si>
  <si>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</si>
  <si>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</si>
  <si>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</si>
  <si>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</si>
  <si>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</si>
  <si>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</si>
  <si>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</si>
  <si>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</si>
  <si>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</si>
  <si>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</si>
  <si>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</si>
  <si>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</si>
  <si>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</si>
  <si>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</si>
  <si>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</si>
  <si>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</si>
  <si>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</si>
  <si>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</si>
  <si>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</si>
  <si>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</si>
  <si>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</si>
  <si>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</si>
  <si>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</si>
  <si>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</si>
  <si>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</si>
  <si>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</si>
  <si>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</si>
  <si>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</si>
  <si>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</si>
  <si>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</si>
  <si>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</si>
  <si>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</si>
  <si>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Experience Period Aggregate Amount</t>
  </si>
  <si>
    <t>Section I: Experience period data</t>
  </si>
  <si>
    <t>Admits</t>
  </si>
  <si>
    <t>Days</t>
  </si>
  <si>
    <t>Benefit Period</t>
  </si>
  <si>
    <t>Visits</t>
  </si>
  <si>
    <t>Services</t>
  </si>
  <si>
    <t>Prescriptions</t>
  </si>
  <si>
    <t>&lt;?xml version="1.0"?&gt;_x000D_
&lt;InsuranceRateForecastTempVO xmlns="http://vo.urr.oversight.ff.cms.hhs.gov"&gt;_x000D_
  &lt;submittingIssuerHIOSIdentifier&gt;_x000D_
    &lt;cellLocation&gt;Wksh 1 - Market Experience!$E$4&lt;/cellLocation&gt;_x000D_
    &lt;cellValue&gt;00123&lt;/cellValue&gt;_x000D_
  &lt;/submittingIssuerHIOSIdentifier&gt;_x000D_
  &lt;companyLegalName&gt;_x000D_
    &lt;cellLocation&gt;Wksh 1 - Market Experience!$E$3&lt;/cellLocation&gt;_x000D_
    &lt;cellValue&gt;ABC Insurer&lt;/cellValue&gt;_x000D_
  &lt;/companyLegalName&gt;_x000D_
  &lt;stateAbbreviationText&gt;_x000D_
    &lt;cellLocation&gt;Wksh 1 - Market Experience!$H$3&lt;/cellLocation&gt;_x000D_
    &lt;cellValue&gt;WI&lt;/cellValue&gt;_x000D_
  &lt;/stateAbbreviationText&gt;_x000D_
  &lt;experiencePeriodBeginningDate&gt;_x000D_
    &lt;cellLocation&gt;Wksh 1 - Market Experience!$E$12&lt;/cellLocation&gt;_x000D_
    &lt;cellValue&gt;1/1/2012&lt;/cellValue&gt;_x000D_
  &lt;/experiencePeriodBeginningDate&gt;_x000D_
  &lt;premiumsNetOfMlrRebateInExperiencePeriodAmount&gt;_x000D_
    &lt;cellLocation&gt;Wksh 1 - Market Experience!$F$14&lt;/cellLocation&gt;_x000D_
    &lt;cellValue&gt;91250000&lt;/cellValue&gt;_x000D_
  &lt;/premiumsNetOfMlrRebateInExperiencePeriodAmount&gt;_x000D_
  &lt;incurredClaimsInExperiencePeriodAmount&gt;_x000D_
    &lt;cellLocation&gt;W'</t>
  </si>
  <si>
    <t>ksh 1 - Market Experience!$F$15&lt;/cellLocation&gt;_x000D_
    &lt;cellValue&gt;75000000&lt;/cellValue&gt;_x000D_
  &lt;/incurredClaimsInExperiencePeriodAmount&gt;_x000D_
  &lt;allowedClaimsAmount&gt;_x000D_
    &lt;cellLocation&gt;Wksh 1 - Market Experience!$F$16&lt;/cellLocation&gt;_x000D_
    &lt;cellValue&gt;107250000&lt;/cellValue&gt;_x000D_
  &lt;/allowedClaimsAmount&gt;_x000D_
  &lt;experiencePeriodMemberMonthsQuantity&gt;_x000D_
    &lt;cellLocation&gt;Wksh 1 - Market Experience!$G$17&lt;/cellLocation&gt;_x000D_
    &lt;cellValue&gt;420.00&lt;/cellValue&gt;_x000D_
  &lt;/experiencePeriodMemberMonthsQuantity&gt;_x000D_
  &lt;projectionPeriodStartDate&gt;_x000D_
    &lt;cellLocation&gt;Wksh 1 - Market Experience!$L$21&lt;/cellLocation&gt;_x000D_
    &lt;cellValue&gt;1/1/2014&lt;/cellValue&gt;_x000D_
  &lt;/projectionPeriodStartDate&gt;_x000D_
  &lt;projectedAllowedExperienceClaimsPMPMCredibilityIndexQuantity&gt;_x000D_
    &lt;cellLocation&gt;Wksh 1 - Market Experience!$Q$32&lt;/cellLocation&gt;_x000D_
    &lt;cellValue&gt;80%&lt;/cellValue&gt;_x000D_
  &lt;/projectedAllowedExperienceClaimsPMPMCredibilityIndexQuantity&gt;_x000D_
  &lt;projectedAllowedManualClaimsPMPMCredibilityIndexQuantity&gt;_x000D_
    &lt;cellLocation&gt;Wksh 1 - Market Experience!$T$32&lt;/cellLocation&gt;_x000D_
    &lt;cellValue&gt;20%&lt;/cel'</t>
  </si>
  <si>
    <t>lValue&gt;_x000D_
  &lt;/projectedAllowedManualClaimsPMPMCredibilityIndexQuantity&gt;_x000D_
  &lt;projectedAdjustedExperienceClaimsPMPMAmount&gt;_x000D_
    &lt;cellLocation&gt;Wksh 1 - Market Experience!$V$32&lt;/cellLocation&gt;_x000D_
    &lt;cellValue&gt;539.32&lt;/cellValue&gt;_x000D_
  &lt;/projectedAdjustedExperienceClaimsPMPMAmount&gt;_x000D_
  &lt;projectedAllowedExperienceClaimsAmount&gt;_x000D_
    &lt;cellLocation&gt;Wksh 1 - Market Experience!$X$32&lt;/cellLocation&gt;_x000D_
    &lt;cellValue&gt;141571104&lt;/cellValue&gt;_x000D_
  &lt;/projectedAllowedExperienceClaimsAmount&gt;_x000D_
  &lt;paidToAllowedAverageFactorInProjectionPeriodQuantity&gt;_x000D_
    &lt;cellLocation&gt;Wksh 1 - Market Experience!$V$33&lt;/cellLocation&gt;_x000D_
    &lt;cellValue&gt;0.69945&lt;/cellValue&gt;_x000D_
  &lt;/paidToAllowedAverageFactorInProjectionPeriodQuantity&gt;_x000D_
  &lt;projectedIncurredClaimsBeforeAdjustmentPMPMAmount&gt;_x000D_
    &lt;cellLocation&gt;Wksh 1 - Market Experience!$V$34&lt;/cellLocation&gt;_x000D_
    &lt;cellValue&gt;377.23&lt;/cellValue&gt;_x000D_
  &lt;/projectedIncurredClaimsBeforeAdjustmentPMPMAmount&gt;_x000D_
  &lt;projectedRiskAdjustmentsPMPMAmount&gt;_x000D_
    &lt;cellLocation&gt;Wksh 1 - Market Experience!$V$35&lt;/cellLocation&gt;_x000D_
    &lt;cellValue&gt;1.'</t>
  </si>
  <si>
    <t>91&lt;/cellValue&gt;_x000D_
  &lt;/projectedRiskAdjustmentsPMPMAmount&gt;_x000D_
  &lt;projectedACAReinsuranceRecoveriesPMPMAmount&gt;_x000D_
    &lt;cellLocation&gt;Wksh 1 - Market Experience!$V$37&lt;/cellLocation&gt;_x000D_
    &lt;cellValue&gt;3.82&lt;/cellValue&gt;_x000D_
  &lt;/projectedACAReinsuranceRecoveriesPMPMAmount&gt;_x000D_
  &lt;administrativeExpenseLoadQuantity&gt;_x000D_
    &lt;cellLocation&gt;Wksh 1 - Market Experience!$T$40&lt;/cellLocation&gt;_x000D_
    &lt;cellValue&gt;12.5%&lt;/cellValue&gt;_x000D_
  &lt;/administrativeExpenseLoadQuantity&gt;_x000D_
  &lt;administrativeExpenseLoadPMPMAmount&gt;_x000D_
    &lt;cellLocation&gt;Wksh 1 - Market Experience!$V$40&lt;/cellLocation&gt;_x000D_
    &lt;cellValue&gt;58.05&lt;/cellValue&gt;_x000D_
  &lt;/administrativeExpenseLoadPMPMAmount&gt;_x000D_
  &lt;profitAndRiskLoadQuantity&gt;_x000D_
    &lt;cellLocation&gt;Wksh 1 - Market Experience!$T$41&lt;/cellLocation&gt;_x000D_
    &lt;cellValue&gt;5.0%&lt;/cellValue&gt;_x000D_
  &lt;/profitAndRiskLoadQuantity&gt;_x000D_
  &lt;profitAndRiskLoadPMPMAmount&gt;_x000D_
    &lt;cellLocation&gt;Wksh 1 - Market Experience!$V$41&lt;/cellLocation&gt;_x000D_
    &lt;cellValue&gt;23.22&lt;/cellValue&gt;_x000D_
  &lt;/profitAndRiskLoadPMPMAmount&gt;_x000D_
  &lt;taxesAndFeesPercentQuantity&gt;_x000D_
    &lt;cellLocation&gt;Wksh 1 - Market Experi'</t>
  </si>
  <si>
    <t>ence!$T$42&lt;/cellLocation&gt;_x000D_
    &lt;cellValue&gt;2.5%&lt;/cellValue&gt;_x000D_
  &lt;/taxesAndFeesPercentQuantity&gt;_x000D_
  &lt;taxesAndFeesPMPMAmount&gt;_x000D_
    &lt;cellLocation&gt;Wksh 1 - Market Experience!$V$42&lt;/cellLocation&gt;_x000D_
    &lt;cellValue&gt;11.61&lt;/cellValue&gt;_x000D_
  &lt;/taxesAndFeesPMPMAmount&gt;_x000D_
  &lt;singleRiskPoolGrossPremiumAvgRatePMPMAmount&gt;_x000D_
    &lt;cellLocation&gt;Wksh 1 - Market Experience!$V$43&lt;/cellLocation&gt;_x000D_
    &lt;cellValue&gt;464.37&lt;/cellValue&gt;_x000D_
  &lt;/singleRiskPoolGrossPremiumAvgRatePMPMAmount&gt;_x000D_
  &lt;percentIncreaseOverExperiencePeriodQuantity&gt;_x000D_
    &lt;cellLocation&gt;Wksh 1 - Market Experience!$V$44&lt;/cellLocation&gt;_x000D_
    &lt;cellValue&gt;530.00&lt;/cellValue&gt;_x000D_
  &lt;/percentIncreaseOverExperiencePeriodQuantity&gt;_x000D_
  &lt;percentIncreaseAnnualizedQuantity&gt;_x000D_
    &lt;cellLocation&gt;Wksh 1 - Market Experience!$V$45&lt;/cellLocation&gt;_x000D_
    &lt;cellValue&gt;27%&lt;/cellValue&gt;_x000D_
  &lt;/percentIncreaseAnnualizedQuantity&gt;_x000D_
  &lt;projectedMemberMonthsQuantity&gt;_x000D_
    &lt;cellLocation&gt;Wksh 1 - Market Experience!$X$47&lt;/cellLocation&gt;_x000D_
    &lt;cellValue&gt;262500&lt;/cellValue&gt;_x000D_
  &lt;/projectedMemberMonthsQuantity&gt;_x000D_
  &lt;poolingInsurance'</t>
  </si>
  <si>
    <t>MarketLevelType&gt;_x000D_
    &lt;cellLocation&gt;Wksh 1 - Market Experience!$H$4&lt;/cellLocation&gt;_x000D_
    &lt;cellValue&gt;Small Group&lt;/cellValue&gt;_x000D_
  &lt;/poolingInsuranceMarketLevelType&gt;_x000D_
  &lt;experiencePeriodEndingDate&gt;_x000D_
    &lt;cellLocation&gt;Wksh 1 - Market Experience!$G$12&lt;/cellLocation&gt;_x000D_
    &lt;cellValue&gt;12/31/2012&lt;/cellValue&gt;_x000D_
  &lt;/experiencePeriodEndingDate&gt;_x000D_
  &lt;rateReviewEffectiveDate&gt;_x000D_
    &lt;cellLocation&gt;Wksh 1 - Market Experience!$E$5&lt;/cellLocation&gt;_x000D_
    &lt;cellValue&gt;1/1/2014&lt;/cellValue&gt;_x000D_
  &lt;/rateReviewEffectiveDate&gt;_x000D_
  &lt;premiumsNetOfMlrRebateInExperiencePeriodPMPMAmount&gt;_x000D_
    &lt;cellLocation&gt;Wksh 1 - Market Experience!$G$14&lt;/cellLocation&gt;_x000D_
    &lt;cellValue&gt;365.00&lt;/cellValue&gt;_x000D_
  &lt;/premiumsNetOfMlrRebateInExperiencePeriodPMPMAmount&gt;_x000D_
  &lt;premiumsNetOfMlrRebateInExperiencePeriodQuantity&gt;_x000D_
    &lt;cellLocation&gt;Wksh 1 - Market Experience!$H$14&lt;/cellLocation&gt;_x000D_
    &lt;cellValue&gt;100.0%&lt;/cellValue&gt;_x000D_
  &lt;/premiumsNetOfMlrRebateInExperiencePeriodQuantity&gt;_x000D_
  &lt;incurredClaimsInExperiencePeriodPMPMAmount&gt;_x000D_
    &lt;cellLocation&gt;Wksh 1 - Market Experience!$G$15&lt;/cel'</t>
  </si>
  <si>
    <t>lLocation&gt;_x000D_
    &lt;cellValue&gt;300.00&lt;/cellValue&gt;_x000D_
  &lt;/incurredClaimsInExperiencePeriodPMPMAmount&gt;_x000D_
  &lt;incurredClaimsInExperiencePeriodQuantity&gt;_x000D_
    &lt;cellLocation&gt;Wksh 1 - Market Experience!$H$15&lt;/cellLocation&gt;_x000D_
    &lt;cellValue&gt;82.2%&lt;/cellValue&gt;_x000D_
  &lt;/incurredClaimsInExperiencePeriodQuantity&gt;_x000D_
  &lt;allowedClaimsPMPMAmount&gt;_x000D_
    &lt;cellLocation&gt;Wksh 1 - Market Experience!$G$16&lt;/cellLocation&gt;_x000D_
    &lt;cellValue&gt;429.00&lt;/cellValue&gt;_x000D_
  &lt;/allowedClaimsPMPMAmount&gt;_x000D_
  &lt;allowedClaimsPercentQuantity&gt;_x000D_
    &lt;cellLocation&gt;Wksh 1 - Market Experience!$H$16&lt;/cellLocation&gt;_x000D_
    &lt;cellValue&gt;117.5%&lt;/cellValue&gt;_x000D_
  &lt;/allowedClaimsPercentQuantity&gt;_x000D_
  &lt;experiencePeriodIndexRatePMPMQuantity&gt;_x000D_
    &lt;cellLocation&gt;Wksh 1 - Market Experience!$F$18&lt;/cellLocation&gt;_x000D_
    &lt;cellValue&gt;250000&lt;/cellValue&gt;_x000D_
  &lt;/experiencePeriodIndexRatePMPMQuantity&gt;_x000D_
  &lt;projectionPeriodEndDate&gt;_x000D_
    &lt;cellLocation&gt;Wksh 1 - Market Experience!$O$21&lt;/cellLocation&gt;_x000D_
    &lt;cellValue&gt;12/31/2014&lt;/cellValue&gt;_x000D_
  &lt;/projectionPeriodEndDate&gt;_x000D_
  &lt;midpointToMidpointMonthsQuantity&gt;_x000D_
    &lt;cellL'</t>
  </si>
  <si>
    <t>ocation&gt;Wksh 1 - Market Experience!$T$21&lt;/cellLocation&gt;_x000D_
    &lt;cellValue&gt;24&lt;/cellValue&gt;_x000D_
  &lt;/midpointToMidpointMonthsQuantity&gt;_x000D_
  &lt;totalExperiencePeriodOnActualExperienceAllowedPMPMAmount&gt;_x000D_
    &lt;cellLocation&gt;Wksh 1 - Market Experience!$H$30&lt;/cellLocation&gt;_x000D_
    &lt;cellValue&gt;429.00&lt;/cellValue&gt;_x000D_
  &lt;/totalExperiencePeriodOnActualExperienceAllowedPMPMAmount&gt;_x000D_
  &lt;totalProjectionsBeforeCredibilityAdjustmentPMPMAmount&gt;_x000D_
    &lt;cellLocation&gt;Wksh 1 - Market Experience!$Q$30&lt;/cellLocation&gt;_x000D_
    &lt;cellValue&gt;560.45&lt;/cellValue&gt;_x000D_
  &lt;/totalProjectionsBeforeCredibilityAdjustmentPMPMAmount&gt;_x000D_
  &lt;totalCredibilityManualPMPMAmount&gt;_x000D_
    &lt;cellLocation&gt;Wksh 1 - Market Experience!$T$30&lt;/cellLocation&gt;_x000D_
    &lt;cellValue&gt;454.78&lt;/cellValue&gt;_x000D_
  &lt;/totalCredibilityManualPMPMAmount&gt;_x000D_
  &lt;projectedIncurredClaimsBeforeAdjustmentAmount&gt;_x000D_
    &lt;cellLocation&gt;Wksh 1 - Market Experience!$V$38&lt;/cellLocation&gt;_x000D_
    &lt;cellValue&gt;371.50&lt;/cellValue&gt;_x000D_
  &lt;/projectedIncurredClaimsBeforeAdjustmentAmount&gt;_x000D_
  &lt;singleRiskPoolGrossPremiumAvgRatePMPMTotalAmount&gt;_x000D_
    &lt;cellLo'</t>
  </si>
  <si>
    <t>cation&gt;Wksh 1 - Market Experience!$X$43&lt;/cellLocation&gt;_x000D_
    &lt;cellValue&gt;121897229&lt;/cellValue&gt;_x000D_
  &lt;/singleRiskPoolGrossPremiumAvgRatePMPMTotalAmount&gt;_x000D_
  &lt;taxesAndFeesPMPMTotalAmount&gt;_x000D_
    &lt;cellLocation&gt;Wksh 1 - Market Experience!$X$42&lt;/cellLocation&gt;_x000D_
    &lt;cellValue&gt;3047431&lt;/cellValue&gt;_x000D_
  &lt;/taxesAndFeesPMPMTotalAmount&gt;_x000D_
  &lt;profitAndRiskLoadPMPMTotalAmount&gt;_x000D_
    &lt;cellLocation&gt;Wksh 1 - Market Experience!$X$41&lt;/cellLocation&gt;_x000D_
    &lt;cellValue&gt;6094861&lt;/cellValue&gt;_x000D_
  &lt;/profitAndRiskLoadPMPMTotalAmount&gt;_x000D_
  &lt;administrativeExpenseLoadPMPMTotalAmount&gt;_x000D_
    &lt;cellLocation&gt;Wksh 1 - Market Experience!$X$40&lt;/cellLocation&gt;_x000D_
    &lt;cellValue&gt;15237154&lt;/cellValue&gt;_x000D_
  &lt;/administrativeExpenseLoadPMPMTotalAmount&gt;_x000D_
  &lt;projectedIncurredClaimsBeforeReinsuranceRecoveriesPMPMTotalAmount&gt;_x000D_
    &lt;cellLocation&gt;Wksh 1 - Market Experience!$X$34&lt;/cellLocation&gt;_x000D_
    &lt;cellValue&gt;99021908&lt;/cellValue&gt;_x000D_
  &lt;/projectedIncurredClaimsBeforeReinsuranceRecoveriesPMPMTotalAmount&gt;_x000D_
  &lt;projectedIncurredClaimsBeforeAdjustmentPMPMTotalAmount&gt;_x000D_
    &lt;cellLocation&gt;Wks'</t>
  </si>
  <si>
    <t>h 1 - Market Experience!$X$38&lt;/cellLocation&gt;_x000D_
    &lt;cellValue&gt;97517783&lt;/cellValue&gt;_x000D_
  &lt;/projectedIncurredClaimsBeforeAdjustmentPMPMTotalAmount&gt;_x000D_
  &lt;projectedRiskAdjustmentsPMPMTotalAmount&gt;_x000D_
    &lt;cellLocation&gt;Wksh 1 - Market Experience!$X$35&lt;/cellLocation&gt;_x000D_
    &lt;cellValue&gt;501375&lt;/cellValue&gt;_x000D_
  &lt;/projectedRiskAdjustmentsPMPMTotalAmount&gt;_x000D_
  &lt;projectedACAReinsuranceRecoveriesPMPMTotalAmount&gt;_x000D_
    &lt;cellLocation&gt;Wksh 1 - Market Experience!$X$37&lt;/cellLocation&gt;_x000D_
    &lt;cellValue&gt;1002750&lt;/cellValue&gt;_x000D_
  &lt;/projectedACAReinsuranceRecoveriesPMPMTotalAmount&gt;_x000D_
  &lt;indexRateForProjectionPeriodAmount&gt;_x000D_
    &lt;cellLocation&gt;Wksh 1 - Market Experience!$V$46&lt;/cellLocation&gt;_x000D_
    &lt;cellValue&gt;13%&lt;/cellValue&gt;_x000D_
  &lt;/indexRateForProjectionPeriodAmount&gt;_x000D_
&lt;/InsuranceRateForecastTempVO&gt;_x000D_
'</t>
  </si>
  <si>
    <t>Historical Rate Increase - Calendar Year 0</t>
  </si>
  <si>
    <t>Historical Rate Increase - Calendar Year - 2</t>
  </si>
  <si>
    <t>Historical Rate Increase - Calendar Year - 1</t>
  </si>
  <si>
    <t>Section I: General Product and Plan Information</t>
  </si>
  <si>
    <t>Plan ID (Standard Component ID):</t>
  </si>
  <si>
    <t>Inpatient Hospital</t>
  </si>
  <si>
    <t>AS</t>
  </si>
  <si>
    <t>GU</t>
  </si>
  <si>
    <t>MP</t>
  </si>
  <si>
    <t>PR</t>
  </si>
  <si>
    <t>VI</t>
  </si>
  <si>
    <t xml:space="preserve">    </t>
  </si>
  <si>
    <t>Plan Adjusted Index Rate</t>
  </si>
  <si>
    <t>EHB Percent of TP, [see instructions]</t>
  </si>
  <si>
    <t>EHB Percent of TAC, [see instructions]</t>
  </si>
  <si>
    <t>Plan Category</t>
  </si>
  <si>
    <t>New</t>
  </si>
  <si>
    <t>Renewing</t>
  </si>
  <si>
    <t>Terminated</t>
  </si>
  <si>
    <t>Product Rate Increase %</t>
  </si>
  <si>
    <t>Projected Allowed Claims PMPM (w/applied credibility if applicable)</t>
  </si>
  <si>
    <r>
      <rPr>
        <u/>
        <sz val="11"/>
        <color theme="0"/>
        <rFont val="Calibri"/>
        <family val="2"/>
        <scheme val="minor"/>
      </rPr>
      <t xml:space="preserve">Action Keyboard Shortcut:
</t>
    </r>
    <r>
      <rPr>
        <i/>
        <sz val="11"/>
        <color theme="0"/>
        <rFont val="Calibri"/>
        <family val="2"/>
        <scheme val="minor"/>
      </rPr>
      <t>Add Product:</t>
    </r>
    <r>
      <rPr>
        <sz val="11"/>
        <color theme="0"/>
        <rFont val="Calibri"/>
        <family val="2"/>
        <scheme val="minor"/>
      </rPr>
      <t xml:space="preserve"> CTRL + SHIFT + P
</t>
    </r>
    <r>
      <rPr>
        <i/>
        <sz val="11"/>
        <color theme="0"/>
        <rFont val="Calibri"/>
        <family val="2"/>
        <scheme val="minor"/>
      </rPr>
      <t>Add Plan:</t>
    </r>
    <r>
      <rPr>
        <sz val="11"/>
        <color theme="0"/>
        <rFont val="Calibri"/>
        <family val="2"/>
        <scheme val="minor"/>
      </rPr>
      <t xml:space="preserve"> CTRL + SHIFT + L
</t>
    </r>
    <r>
      <rPr>
        <i/>
        <sz val="11"/>
        <color theme="0"/>
        <rFont val="Calibri"/>
        <family val="2"/>
        <scheme val="minor"/>
      </rPr>
      <t>Validate:</t>
    </r>
    <r>
      <rPr>
        <sz val="11"/>
        <color theme="0"/>
        <rFont val="Calibri"/>
        <family val="2"/>
        <scheme val="minor"/>
      </rPr>
      <t xml:space="preserve"> CTRL + SHIFT + I
</t>
    </r>
    <r>
      <rPr>
        <i/>
        <sz val="11"/>
        <color theme="0"/>
        <rFont val="Calibri"/>
        <family val="2"/>
        <scheme val="minor"/>
      </rPr>
      <t>Finalize:</t>
    </r>
    <r>
      <rPr>
        <sz val="11"/>
        <color theme="0"/>
        <rFont val="Calibri"/>
        <family val="2"/>
        <scheme val="minor"/>
      </rPr>
      <t xml:space="preserve"> CTRL + SHIFT + F </t>
    </r>
  </si>
  <si>
    <r>
      <rPr>
        <u/>
        <sz val="11"/>
        <color theme="0"/>
        <rFont val="Calibri"/>
        <family val="2"/>
        <scheme val="minor"/>
      </rPr>
      <t xml:space="preserve">Action Keyboard Shortcut:
</t>
    </r>
    <r>
      <rPr>
        <i/>
        <sz val="11"/>
        <color theme="0"/>
        <rFont val="Calibri"/>
        <family val="2"/>
        <scheme val="minor"/>
      </rPr>
      <t xml:space="preserve">Add Product: </t>
    </r>
    <r>
      <rPr>
        <sz val="11"/>
        <color theme="0"/>
        <rFont val="Calibri"/>
        <family val="2"/>
        <scheme val="minor"/>
      </rPr>
      <t xml:space="preserve">CTRL + SHIFT + P
</t>
    </r>
    <r>
      <rPr>
        <i/>
        <sz val="11"/>
        <color theme="0"/>
        <rFont val="Calibri"/>
        <family val="2"/>
        <scheme val="minor"/>
      </rPr>
      <t xml:space="preserve">Add Plan: </t>
    </r>
    <r>
      <rPr>
        <sz val="11"/>
        <color theme="0"/>
        <rFont val="Calibri"/>
        <family val="2"/>
        <scheme val="minor"/>
      </rPr>
      <t xml:space="preserve">CTRL + SHIFT + L
</t>
    </r>
    <r>
      <rPr>
        <i/>
        <sz val="11"/>
        <color theme="0"/>
        <rFont val="Calibri"/>
        <family val="2"/>
        <scheme val="minor"/>
      </rPr>
      <t>Validate:</t>
    </r>
    <r>
      <rPr>
        <sz val="11"/>
        <color theme="0"/>
        <rFont val="Calibri"/>
        <family val="2"/>
        <scheme val="minor"/>
      </rPr>
      <t xml:space="preserve"> CTRL + SHIFT + I
</t>
    </r>
    <r>
      <rPr>
        <i/>
        <sz val="11"/>
        <color theme="0"/>
        <rFont val="Calibri"/>
        <family val="2"/>
        <scheme val="minor"/>
      </rPr>
      <t>Finalize:</t>
    </r>
    <r>
      <rPr>
        <sz val="11"/>
        <color theme="0"/>
        <rFont val="Calibri"/>
        <family val="2"/>
        <scheme val="minor"/>
      </rPr>
      <t xml:space="preserve"> CTRL + SHIFT + F</t>
    </r>
  </si>
  <si>
    <t>Unified Rate Review v4.2</t>
  </si>
  <si>
    <t>Individual</t>
  </si>
  <si>
    <t>21032</t>
  </si>
  <si>
    <t>Kaiser Foundation Health Plan of Colorado</t>
  </si>
  <si>
    <t>HMO</t>
  </si>
  <si>
    <t>21032CO041</t>
  </si>
  <si>
    <t>21032CO061</t>
  </si>
  <si>
    <t>Gold</t>
  </si>
  <si>
    <t>Silver</t>
  </si>
  <si>
    <t>Bronze</t>
  </si>
  <si>
    <t>Catastrophic</t>
  </si>
  <si>
    <t>KP CO Gold 0/20</t>
  </si>
  <si>
    <t>KP Select CO Gold 0/20</t>
  </si>
  <si>
    <t>KP CO Gold 1000/20</t>
  </si>
  <si>
    <t>KP Select CO Gold 1000/20</t>
  </si>
  <si>
    <t>KP CO Gold 1500/20</t>
  </si>
  <si>
    <t>KP Select CO Gold 1500/20</t>
  </si>
  <si>
    <t>KP CO Silver 2000/25</t>
  </si>
  <si>
    <t>KP Select CO Silver 2000/25</t>
  </si>
  <si>
    <t>KP CO Silver 3000/30</t>
  </si>
  <si>
    <t>KP Select CO Silver 3000/30</t>
  </si>
  <si>
    <t>KP CO Silver 2750/20Percent/HSA</t>
  </si>
  <si>
    <t>KP Select CO Silver 2750/20Percent/HSA</t>
  </si>
  <si>
    <t>KP CO Silver 4500/30</t>
  </si>
  <si>
    <t>KP Select CO Silver 4500/30</t>
  </si>
  <si>
    <t>KP CO Bronze 5250/40</t>
  </si>
  <si>
    <t>KP Select CO Bronze 5250/40</t>
  </si>
  <si>
    <t>KP CO Bronze 5500/30Percent/HSA</t>
  </si>
  <si>
    <t>KP Select CO Bronze 5500/30Percent/HSA</t>
  </si>
  <si>
    <t>KP CO Bronze 6000/50</t>
  </si>
  <si>
    <t>KP Select CO Bronze 6000/50</t>
  </si>
  <si>
    <t>KP CO Bronze 6500/50</t>
  </si>
  <si>
    <t>KP Select CO Bronze 6500/50</t>
  </si>
  <si>
    <t>KP CO Bronze 4500/50/HSA</t>
  </si>
  <si>
    <t>KP Select CO Bronze 4500/50/HSA</t>
  </si>
  <si>
    <t>KP Select CO Catastrophic</t>
  </si>
  <si>
    <t>21032CO0410001</t>
  </si>
  <si>
    <t>21032CO0410011</t>
  </si>
  <si>
    <t>21032CO0410010</t>
  </si>
  <si>
    <t>21032CO0410037</t>
  </si>
  <si>
    <t>21032CO0410028</t>
  </si>
  <si>
    <t>21032CO0410002</t>
  </si>
  <si>
    <t>21032CO0410013</t>
  </si>
  <si>
    <t>21032CO0410012</t>
  </si>
  <si>
    <t>21032CO0410038</t>
  </si>
  <si>
    <t>21032CO0410029</t>
  </si>
  <si>
    <t>21032CO0410060</t>
  </si>
  <si>
    <t>21032CO0410061</t>
  </si>
  <si>
    <t>21032CO0410062</t>
  </si>
  <si>
    <t>21032CO0410064</t>
  </si>
  <si>
    <t>21032CO0410063</t>
  </si>
  <si>
    <t>21032CO0410003</t>
  </si>
  <si>
    <t>21032CO0410015</t>
  </si>
  <si>
    <t>21032CO0410014</t>
  </si>
  <si>
    <t>21032CO0410039</t>
  </si>
  <si>
    <t>21032CO0410030</t>
  </si>
  <si>
    <t>21032CO0410004</t>
  </si>
  <si>
    <t>21032CO0410017</t>
  </si>
  <si>
    <t>21032CO0410016</t>
  </si>
  <si>
    <t>21032CO0410040</t>
  </si>
  <si>
    <t>21032CO0410031</t>
  </si>
  <si>
    <t>21032CO0410005</t>
  </si>
  <si>
    <t>21032CO0410019</t>
  </si>
  <si>
    <t>21032CO0410018</t>
  </si>
  <si>
    <t>21032CO0410041</t>
  </si>
  <si>
    <t>21032CO0410032</t>
  </si>
  <si>
    <t>21032CO0410055</t>
  </si>
  <si>
    <t>21032CO0410056</t>
  </si>
  <si>
    <t>21032CO0410057</t>
  </si>
  <si>
    <t>21032CO0410059</t>
  </si>
  <si>
    <t>21032CO0410058</t>
  </si>
  <si>
    <t>21032CO0410008</t>
  </si>
  <si>
    <t>21032CO0410025</t>
  </si>
  <si>
    <t>21032CO0410024</t>
  </si>
  <si>
    <t>21032CO0410042</t>
  </si>
  <si>
    <t>21032CO0410033</t>
  </si>
  <si>
    <t>21032CO0410007</t>
  </si>
  <si>
    <t>21032CO0410021</t>
  </si>
  <si>
    <t>21032CO0410020</t>
  </si>
  <si>
    <t>21032CO0410043</t>
  </si>
  <si>
    <t>21032CO0410035</t>
  </si>
  <si>
    <t>21032CO0410044</t>
  </si>
  <si>
    <t>21032CO0410045</t>
  </si>
  <si>
    <t>21032CO0410046</t>
  </si>
  <si>
    <t>21032CO0410048</t>
  </si>
  <si>
    <t>21032CO0410047</t>
  </si>
  <si>
    <t>21032CO0410049</t>
  </si>
  <si>
    <t>21032CO0410050</t>
  </si>
  <si>
    <t>21032CO0410051</t>
  </si>
  <si>
    <t>21032CO0410053</t>
  </si>
  <si>
    <t>21032CO0410052</t>
  </si>
  <si>
    <t>21032CO0410009</t>
  </si>
  <si>
    <t>21032CO0410027</t>
  </si>
  <si>
    <t>21032CO0410026</t>
  </si>
  <si>
    <t>21032CO0410054</t>
  </si>
  <si>
    <t>21032CO0410036</t>
  </si>
  <si>
    <t>21032CO0610001</t>
  </si>
  <si>
    <t>21032CO0610011</t>
  </si>
  <si>
    <t>21032CO0610010</t>
  </si>
  <si>
    <t>21032CO0610037</t>
  </si>
  <si>
    <t>21032CO0610028</t>
  </si>
  <si>
    <t>21032CO0610002</t>
  </si>
  <si>
    <t>21032CO0610013</t>
  </si>
  <si>
    <t>21032CO0610012</t>
  </si>
  <si>
    <t>21032CO0610038</t>
  </si>
  <si>
    <t>21032CO0610029</t>
  </si>
  <si>
    <t>21032CO0610060</t>
  </si>
  <si>
    <t>21032CO0610061</t>
  </si>
  <si>
    <t>21032CO0610062</t>
  </si>
  <si>
    <t>21032CO0610064</t>
  </si>
  <si>
    <t>21032CO0610063</t>
  </si>
  <si>
    <t>21032CO0610003</t>
  </si>
  <si>
    <t>21032CO0610015</t>
  </si>
  <si>
    <t>21032CO0610014</t>
  </si>
  <si>
    <t>21032CO0610039</t>
  </si>
  <si>
    <t>21032CO0610030</t>
  </si>
  <si>
    <t>21032CO0610004</t>
  </si>
  <si>
    <t>21032CO0610017</t>
  </si>
  <si>
    <t>21032CO0610016</t>
  </si>
  <si>
    <t>21032CO0610040</t>
  </si>
  <si>
    <t>21032CO0610031</t>
  </si>
  <si>
    <t>21032CO0610005</t>
  </si>
  <si>
    <t>21032CO0610019</t>
  </si>
  <si>
    <t>21032CO0610018</t>
  </si>
  <si>
    <t>21032CO0610041</t>
  </si>
  <si>
    <t>21032CO0610032</t>
  </si>
  <si>
    <t>21032CO0610055</t>
  </si>
  <si>
    <t>21032CO0610056</t>
  </si>
  <si>
    <t>21032CO0610057</t>
  </si>
  <si>
    <t>21032CO0610059</t>
  </si>
  <si>
    <t>21032CO0610058</t>
  </si>
  <si>
    <t>21032CO0610008</t>
  </si>
  <si>
    <t>21032CO0610025</t>
  </si>
  <si>
    <t>21032CO0610024</t>
  </si>
  <si>
    <t>21032CO0610042</t>
  </si>
  <si>
    <t>21032CO0610033</t>
  </si>
  <si>
    <t>21032CO0610006</t>
  </si>
  <si>
    <t>21032CO0610021</t>
  </si>
  <si>
    <t>21032CO0610020</t>
  </si>
  <si>
    <t>21032CO0610043</t>
  </si>
  <si>
    <t>21032CO0610035</t>
  </si>
  <si>
    <t>21032CO0610044</t>
  </si>
  <si>
    <t>21032CO0610045</t>
  </si>
  <si>
    <t>21032CO0610046</t>
  </si>
  <si>
    <t>21032CO0610048</t>
  </si>
  <si>
    <t>21032CO0610047</t>
  </si>
  <si>
    <t>21032CO0610049</t>
  </si>
  <si>
    <t>21032CO0610050</t>
  </si>
  <si>
    <t>21032CO0610051</t>
  </si>
  <si>
    <t>21032CO0610053</t>
  </si>
  <si>
    <t>21032CO0610052</t>
  </si>
  <si>
    <t>21032CO0610009</t>
  </si>
  <si>
    <t>21032CO0610027</t>
  </si>
  <si>
    <t>21032CO0610026</t>
  </si>
  <si>
    <t>21032CO0610054</t>
  </si>
  <si>
    <t>21032CO0610036</t>
  </si>
  <si>
    <t>Yes</t>
  </si>
  <si>
    <t>No</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</si>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</sst>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0.000_);\(#,##0.000\)"/>
    <numFmt numFmtId="169" formatCode="_(&quot;$&quot;* #,##0_);_(&quot;$&quot;* \(#,##0\);_(&quot;$&quot;* &quot;-&quot;??_);_(@_)"/>
    <numFmt numFmtId="170" formatCode="&quot;$&quot;#,##0.00"/>
    <numFmt numFmtId="171" formatCode="&quot;$&quot;#,##0"/>
    <numFmt numFmtId="172" formatCode="0.000_);[Red]\(0.000\)"/>
  </numFmts>
  <fonts count="22"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u val="singleAccounting"/>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sz val="11"/>
      <color theme="0"/>
      <name val="Calibri"/>
      <family val="2"/>
      <scheme val="minor"/>
    </font>
    <font>
      <u/>
      <sz val="11"/>
      <color theme="0"/>
      <name val="Calibri"/>
      <family val="2"/>
      <scheme val="minor"/>
    </font>
    <font>
      <i/>
      <sz val="11"/>
      <color theme="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4" tint="0.59996337778862885"/>
        <bgColor indexed="64"/>
      </patternFill>
    </fill>
  </fills>
  <borders count="15">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s>
  <cellStyleXfs count="7">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95">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0" fontId="0" fillId="0" borderId="0" xfId="0" applyFill="1" applyBorder="1"/>
    <xf numFmtId="43" fontId="9" fillId="0" borderId="0" xfId="1" applyFont="1" applyFill="1" applyBorder="1"/>
    <xf numFmtId="0" fontId="0" fillId="0" borderId="0" xfId="0" applyFill="1"/>
    <xf numFmtId="0" fontId="0" fillId="0" borderId="0" xfId="0" quotePrefix="1" applyFill="1" applyBorder="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44" fontId="0" fillId="0" borderId="0" xfId="0" applyNumberFormat="1" applyFill="1" applyBorder="1"/>
    <xf numFmtId="164" fontId="9" fillId="0" borderId="0" xfId="1" applyNumberFormat="1" applyFont="1" applyFill="1" applyBorder="1"/>
    <xf numFmtId="0" fontId="0" fillId="0" borderId="0" xfId="0" applyAlignment="1"/>
    <xf numFmtId="0" fontId="0" fillId="4" borderId="0" xfId="0" applyFill="1" applyBorder="1"/>
    <xf numFmtId="0" fontId="0" fillId="4" borderId="0" xfId="0" quotePrefix="1" applyFill="1" applyBorder="1" applyAlignment="1">
      <alignment horizontal="left"/>
    </xf>
    <xf numFmtId="0" fontId="10" fillId="4" borderId="0" xfId="0" applyFont="1" applyFill="1" applyBorder="1"/>
    <xf numFmtId="43" fontId="0" fillId="0" borderId="0" xfId="0" applyNumberFormat="1"/>
    <xf numFmtId="0" fontId="5" fillId="0" borderId="0" xfId="0" applyFont="1" applyFill="1"/>
    <xf numFmtId="0" fontId="5" fillId="0" borderId="0" xfId="0" applyFont="1" applyFill="1" applyAlignment="1"/>
    <xf numFmtId="0" fontId="0" fillId="0" borderId="0" xfId="0" applyFill="1" applyAlignment="1"/>
    <xf numFmtId="0" fontId="11" fillId="4" borderId="0" xfId="0" applyFont="1" applyFill="1"/>
    <xf numFmtId="164" fontId="9" fillId="0" borderId="0" xfId="1" applyNumberFormat="1" applyFont="1"/>
    <xf numFmtId="164" fontId="9" fillId="0" borderId="7" xfId="1" applyNumberFormat="1" applyFont="1" applyFill="1" applyBorder="1"/>
    <xf numFmtId="43" fontId="9" fillId="0" borderId="0" xfId="1" applyFont="1"/>
    <xf numFmtId="0" fontId="3" fillId="3" borderId="1" xfId="0" applyFont="1" applyFill="1" applyBorder="1"/>
    <xf numFmtId="164" fontId="0" fillId="0" borderId="0" xfId="0" applyNumberFormat="1"/>
    <xf numFmtId="0" fontId="0" fillId="0" borderId="8" xfId="0" applyBorder="1" applyProtection="1"/>
    <xf numFmtId="169" fontId="9" fillId="0" borderId="8" xfId="3" applyNumberFormat="1" applyFont="1" applyFill="1" applyBorder="1" applyProtection="1"/>
    <xf numFmtId="43" fontId="9" fillId="0" borderId="8" xfId="1" applyFont="1" applyFill="1" applyBorder="1" applyProtection="1"/>
    <xf numFmtId="44" fontId="0" fillId="0" borderId="8" xfId="0" applyNumberFormat="1" applyBorder="1" applyProtection="1"/>
    <xf numFmtId="164" fontId="0" fillId="0" borderId="8" xfId="0" applyNumberFormat="1" applyBorder="1" applyProtection="1"/>
    <xf numFmtId="164" fontId="9" fillId="0" borderId="8" xfId="1" applyNumberFormat="1" applyFont="1" applyBorder="1" applyProtection="1"/>
    <xf numFmtId="0" fontId="2" fillId="5" borderId="9" xfId="0" applyFont="1" applyFill="1" applyBorder="1" applyAlignment="1" applyProtection="1">
      <alignment horizontal="right"/>
      <protection locked="0"/>
    </xf>
    <xf numFmtId="0" fontId="0" fillId="0" borderId="0" xfId="0" applyProtection="1"/>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8"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Protection="1"/>
    <xf numFmtId="0" fontId="0" fillId="4" borderId="8" xfId="0" applyFill="1" applyBorder="1" applyProtection="1"/>
    <xf numFmtId="0" fontId="0" fillId="4" borderId="11" xfId="0" applyFill="1" applyBorder="1" applyProtection="1"/>
    <xf numFmtId="0" fontId="0" fillId="0" borderId="8" xfId="0" applyFill="1" applyBorder="1" applyAlignment="1" applyProtection="1">
      <alignment horizontal="left" wrapText="1"/>
    </xf>
    <xf numFmtId="0" fontId="0" fillId="0" borderId="11" xfId="0" applyFill="1" applyBorder="1" applyAlignment="1" applyProtection="1">
      <alignment horizontal="left" wrapText="1"/>
    </xf>
    <xf numFmtId="0" fontId="10" fillId="4" borderId="0" xfId="0" applyFont="1" applyFill="1" applyBorder="1" applyProtection="1"/>
    <xf numFmtId="0" fontId="0" fillId="0" borderId="8" xfId="0" applyBorder="1" applyAlignment="1" applyProtection="1">
      <alignment horizontal="center"/>
    </xf>
    <xf numFmtId="43" fontId="0" fillId="0" borderId="0" xfId="0" applyNumberFormat="1" applyProtection="1"/>
    <xf numFmtId="0" fontId="0" fillId="2" borderId="10" xfId="0" quotePrefix="1" applyFill="1" applyBorder="1" applyAlignment="1" applyProtection="1">
      <alignment horizontal="left"/>
    </xf>
    <xf numFmtId="0" fontId="0" fillId="2" borderId="10" xfId="0" applyFill="1" applyBorder="1" applyAlignment="1" applyProtection="1">
      <alignment horizontal="left"/>
    </xf>
    <xf numFmtId="0" fontId="0" fillId="2" borderId="8" xfId="0" applyFill="1" applyBorder="1" applyAlignment="1" applyProtection="1">
      <alignment horizontal="left"/>
    </xf>
    <xf numFmtId="0" fontId="0" fillId="2" borderId="0" xfId="0" applyFill="1" applyBorder="1" applyAlignment="1" applyProtection="1">
      <alignment horizontal="left"/>
    </xf>
    <xf numFmtId="43" fontId="9" fillId="4" borderId="0" xfId="1" applyFont="1" applyFill="1" applyBorder="1" applyProtection="1"/>
    <xf numFmtId="0" fontId="0" fillId="0" borderId="8" xfId="0" applyBorder="1" applyAlignment="1" applyProtection="1">
      <alignment wrapText="1"/>
    </xf>
    <xf numFmtId="0" fontId="10" fillId="0" borderId="0" xfId="0" applyFont="1" applyProtection="1"/>
    <xf numFmtId="0" fontId="0" fillId="0" borderId="12" xfId="0" applyBorder="1" applyAlignment="1" applyProtection="1">
      <alignment wrapText="1"/>
    </xf>
    <xf numFmtId="164" fontId="9" fillId="0" borderId="8" xfId="1" quotePrefix="1" applyNumberFormat="1" applyFont="1" applyBorder="1" applyProtection="1"/>
    <xf numFmtId="0" fontId="0" fillId="0" borderId="12" xfId="0" applyBorder="1" applyProtection="1"/>
    <xf numFmtId="6" fontId="0" fillId="0" borderId="8" xfId="0" quotePrefix="1" applyNumberFormat="1" applyBorder="1" applyProtection="1"/>
    <xf numFmtId="164" fontId="9" fillId="0" borderId="8" xfId="1" applyNumberFormat="1" applyFont="1" applyFill="1" applyBorder="1" applyProtection="1"/>
    <xf numFmtId="0" fontId="0" fillId="6" borderId="8" xfId="0" applyFill="1" applyBorder="1" applyProtection="1"/>
    <xf numFmtId="164" fontId="0" fillId="0" borderId="8" xfId="0" applyNumberFormat="1" applyFill="1" applyBorder="1" applyAlignment="1" applyProtection="1">
      <alignment wrapText="1"/>
    </xf>
    <xf numFmtId="164" fontId="9" fillId="0" borderId="8" xfId="1" applyNumberFormat="1" applyFont="1" applyFill="1" applyBorder="1" applyAlignment="1" applyProtection="1">
      <alignment wrapText="1"/>
    </xf>
    <xf numFmtId="0" fontId="0" fillId="0" borderId="8" xfId="0" quotePrefix="1" applyFill="1" applyBorder="1" applyAlignment="1" applyProtection="1">
      <alignment horizontal="left" wrapText="1"/>
    </xf>
    <xf numFmtId="0" fontId="0" fillId="0" borderId="8" xfId="0" applyFill="1" applyBorder="1" applyAlignment="1" applyProtection="1">
      <alignment horizontal="left" wrapText="1" indent="2"/>
    </xf>
    <xf numFmtId="6" fontId="0" fillId="0" borderId="8" xfId="0" applyNumberFormat="1" applyBorder="1" applyProtection="1"/>
    <xf numFmtId="0" fontId="10" fillId="0" borderId="11" xfId="0" applyFont="1" applyBorder="1" applyAlignment="1" applyProtection="1">
      <alignment horizontal="center" vertical="center" textRotation="90"/>
    </xf>
    <xf numFmtId="0" fontId="0" fillId="0" borderId="7" xfId="0" applyBorder="1" applyProtection="1"/>
    <xf numFmtId="0" fontId="10" fillId="0" borderId="0" xfId="0" applyFont="1" applyFill="1" applyBorder="1" applyAlignment="1" applyProtection="1">
      <alignment horizontal="center" vertical="center" textRotation="90"/>
    </xf>
    <xf numFmtId="0" fontId="0" fillId="0" borderId="0" xfId="0" applyFill="1" applyBorder="1" applyAlignment="1" applyProtection="1">
      <alignment wrapText="1"/>
    </xf>
    <xf numFmtId="44" fontId="9" fillId="0" borderId="8" xfId="3" quotePrefix="1" applyFont="1" applyBorder="1" applyProtection="1"/>
    <xf numFmtId="0" fontId="0" fillId="0" borderId="9" xfId="0" applyBorder="1" applyProtection="1"/>
    <xf numFmtId="0" fontId="0" fillId="0" borderId="10" xfId="0" applyBorder="1" applyProtection="1"/>
    <xf numFmtId="0" fontId="0" fillId="0" borderId="11" xfId="0" applyBorder="1" applyProtection="1"/>
    <xf numFmtId="0" fontId="10" fillId="0" borderId="0" xfId="0" applyFont="1" applyFill="1" applyBorder="1" applyAlignment="1" applyProtection="1"/>
    <xf numFmtId="0" fontId="0" fillId="0" borderId="0" xfId="0" applyBorder="1" applyProtection="1"/>
    <xf numFmtId="0" fontId="0" fillId="0" borderId="7" xfId="0" applyFill="1" applyBorder="1" applyAlignment="1" applyProtection="1">
      <alignment wrapText="1"/>
    </xf>
    <xf numFmtId="166" fontId="9" fillId="0" borderId="0" xfId="5" applyNumberFormat="1" applyFont="1" applyFill="1" applyBorder="1" applyProtection="1"/>
    <xf numFmtId="43" fontId="9" fillId="0" borderId="0" xfId="1" applyFont="1" applyFill="1" applyBorder="1" applyProtection="1"/>
    <xf numFmtId="0" fontId="5" fillId="2" borderId="0" xfId="0" quotePrefix="1" applyFont="1" applyFill="1" applyAlignment="1" applyProtection="1">
      <alignment horizontal="left"/>
    </xf>
    <xf numFmtId="0" fontId="5" fillId="2" borderId="0" xfId="0" applyFont="1" applyFill="1" applyProtection="1"/>
    <xf numFmtId="0" fontId="0" fillId="2" borderId="0" xfId="0" applyFill="1" applyProtection="1"/>
    <xf numFmtId="0" fontId="7" fillId="2" borderId="0" xfId="0" applyFont="1" applyFill="1" applyProtection="1"/>
    <xf numFmtId="0" fontId="7" fillId="2" borderId="0" xfId="0" quotePrefix="1" applyFont="1" applyFill="1" applyAlignment="1" applyProtection="1">
      <alignment horizontal="left"/>
    </xf>
    <xf numFmtId="0" fontId="0" fillId="2" borderId="0" xfId="0" quotePrefix="1" applyFill="1" applyAlignment="1" applyProtection="1">
      <alignment horizontal="left"/>
    </xf>
    <xf numFmtId="0" fontId="3" fillId="3" borderId="6" xfId="0" quotePrefix="1" applyFont="1" applyFill="1" applyBorder="1" applyAlignment="1" applyProtection="1">
      <alignment horizontal="left"/>
    </xf>
    <xf numFmtId="0" fontId="0" fillId="3" borderId="1" xfId="0" applyFill="1" applyBorder="1" applyProtection="1"/>
    <xf numFmtId="0" fontId="0" fillId="3" borderId="1" xfId="0" quotePrefix="1" applyFill="1" applyBorder="1" applyAlignment="1" applyProtection="1">
      <alignment horizontal="left"/>
    </xf>
    <xf numFmtId="0" fontId="0" fillId="3" borderId="2" xfId="0" applyFill="1" applyBorder="1" applyProtection="1"/>
    <xf numFmtId="0" fontId="0" fillId="3" borderId="3" xfId="0" applyFill="1" applyBorder="1" applyProtection="1"/>
    <xf numFmtId="0" fontId="0" fillId="3" borderId="4" xfId="0" applyFill="1" applyBorder="1" applyProtection="1"/>
    <xf numFmtId="0" fontId="0" fillId="3" borderId="4" xfId="0" quotePrefix="1" applyFill="1" applyBorder="1" applyAlignment="1" applyProtection="1">
      <alignment horizontal="left"/>
    </xf>
    <xf numFmtId="0" fontId="0" fillId="3" borderId="5" xfId="0" applyFill="1" applyBorder="1" applyProtection="1"/>
    <xf numFmtId="0" fontId="0" fillId="2" borderId="0" xfId="0" applyFill="1" applyBorder="1" applyProtection="1"/>
    <xf numFmtId="0" fontId="0" fillId="2" borderId="0" xfId="0" quotePrefix="1" applyFill="1" applyBorder="1" applyAlignment="1" applyProtection="1">
      <alignment horizontal="left"/>
    </xf>
    <xf numFmtId="0" fontId="11" fillId="4" borderId="0" xfId="0" applyFont="1" applyFill="1" applyBorder="1" applyProtection="1"/>
    <xf numFmtId="2" fontId="0" fillId="2" borderId="0" xfId="0" applyNumberFormat="1" applyFill="1" applyBorder="1" applyProtection="1"/>
    <xf numFmtId="0" fontId="3" fillId="2" borderId="0" xfId="0" applyFont="1" applyFill="1" applyProtection="1"/>
    <xf numFmtId="0" fontId="0" fillId="0" borderId="0" xfId="0" applyFill="1" applyAlignment="1" applyProtection="1">
      <alignment horizontal="center"/>
    </xf>
    <xf numFmtId="14" fontId="0" fillId="0" borderId="0" xfId="0" applyNumberFormat="1" applyFill="1" applyProtection="1"/>
    <xf numFmtId="0" fontId="0" fillId="0" borderId="0" xfId="0" applyFill="1" applyProtection="1"/>
    <xf numFmtId="0" fontId="0" fillId="0" borderId="0" xfId="0" applyFill="1" applyAlignment="1" applyProtection="1">
      <alignment horizontal="right"/>
    </xf>
    <xf numFmtId="0" fontId="12" fillId="0" borderId="0" xfId="0" applyFont="1" applyFill="1" applyAlignment="1" applyProtection="1">
      <alignment horizontal="center"/>
    </xf>
    <xf numFmtId="0" fontId="12" fillId="2" borderId="0" xfId="0" applyFont="1" applyFill="1" applyAlignment="1" applyProtection="1">
      <alignment horizontal="center"/>
    </xf>
    <xf numFmtId="0" fontId="0" fillId="0" borderId="0" xfId="0" applyFill="1" applyBorder="1" applyProtection="1"/>
    <xf numFmtId="164" fontId="9" fillId="2" borderId="0" xfId="1" applyNumberFormat="1" applyFont="1" applyFill="1" applyProtection="1"/>
    <xf numFmtId="6" fontId="9" fillId="0" borderId="0" xfId="3" applyNumberFormat="1" applyFont="1" applyFill="1" applyProtection="1"/>
    <xf numFmtId="43" fontId="9" fillId="0" borderId="0" xfId="1" applyFont="1" applyFill="1" applyProtection="1"/>
    <xf numFmtId="0" fontId="0" fillId="0" borderId="0" xfId="0" quotePrefix="1" applyFill="1" applyAlignment="1" applyProtection="1">
      <alignment horizontal="left"/>
    </xf>
    <xf numFmtId="43" fontId="0" fillId="2" borderId="0" xfId="0" applyNumberFormat="1" applyFill="1" applyProtection="1"/>
    <xf numFmtId="164" fontId="9" fillId="0" borderId="0" xfId="1" applyNumberFormat="1" applyFont="1" applyFill="1" applyProtection="1"/>
    <xf numFmtId="0" fontId="4" fillId="2" borderId="0" xfId="0" applyFont="1" applyFill="1" applyProtection="1"/>
    <xf numFmtId="0" fontId="3" fillId="2" borderId="0" xfId="0" applyFont="1" applyFill="1" applyAlignment="1" applyProtection="1">
      <alignment horizontal="centerContinuous"/>
    </xf>
    <xf numFmtId="0" fontId="0" fillId="0" borderId="0" xfId="0" applyFill="1" applyAlignment="1" applyProtection="1">
      <alignment horizontal="centerContinuous"/>
    </xf>
    <xf numFmtId="164" fontId="9" fillId="0" borderId="0" xfId="1" applyNumberFormat="1" applyFont="1" applyFill="1" applyAlignment="1" applyProtection="1">
      <alignment horizontal="centerContinuous"/>
    </xf>
    <xf numFmtId="0" fontId="0" fillId="0" borderId="0" xfId="0" quotePrefix="1" applyFill="1" applyAlignment="1" applyProtection="1">
      <alignment horizontal="centerContinuous"/>
    </xf>
    <xf numFmtId="0" fontId="0" fillId="2" borderId="4" xfId="0" applyFill="1" applyBorder="1" applyProtection="1"/>
    <xf numFmtId="0" fontId="10" fillId="2" borderId="4" xfId="0" applyFont="1" applyFill="1" applyBorder="1" applyAlignment="1" applyProtection="1">
      <alignment horizontal="right"/>
    </xf>
    <xf numFmtId="14" fontId="0" fillId="0" borderId="4" xfId="0" applyNumberFormat="1" applyFill="1" applyBorder="1" applyProtection="1"/>
    <xf numFmtId="0" fontId="0" fillId="0" borderId="4" xfId="0" applyFill="1" applyBorder="1" applyAlignment="1" applyProtection="1">
      <alignment horizontal="center"/>
    </xf>
    <xf numFmtId="0" fontId="0" fillId="2" borderId="4" xfId="0" applyFill="1" applyBorder="1" applyAlignment="1" applyProtection="1">
      <alignment horizontal="right"/>
    </xf>
    <xf numFmtId="0" fontId="10" fillId="2" borderId="4" xfId="0" applyFont="1" applyFill="1" applyBorder="1" applyAlignment="1" applyProtection="1">
      <alignment horizontal="centerContinuous"/>
    </xf>
    <xf numFmtId="0" fontId="0" fillId="0" borderId="4" xfId="0" applyFill="1" applyBorder="1" applyAlignment="1" applyProtection="1">
      <alignment horizontal="centerContinuous"/>
    </xf>
    <xf numFmtId="164" fontId="9" fillId="0" borderId="4" xfId="1" applyNumberFormat="1" applyFont="1" applyFill="1" applyBorder="1" applyAlignment="1" applyProtection="1">
      <alignment horizontal="centerContinuous"/>
    </xf>
    <xf numFmtId="0" fontId="0" fillId="0" borderId="4" xfId="0" quotePrefix="1" applyFill="1" applyBorder="1" applyAlignment="1" applyProtection="1">
      <alignment horizontal="centerContinuous"/>
    </xf>
    <xf numFmtId="0" fontId="0" fillId="0" borderId="0" xfId="0" quotePrefix="1" applyFill="1" applyBorder="1" applyAlignment="1" applyProtection="1">
      <alignment horizontal="centerContinuous"/>
    </xf>
    <xf numFmtId="0" fontId="3" fillId="2" borderId="4" xfId="0" applyFont="1" applyFill="1" applyBorder="1" applyAlignment="1" applyProtection="1">
      <alignment horizontal="centerContinuous" wrapText="1"/>
    </xf>
    <xf numFmtId="0" fontId="10" fillId="0" borderId="4" xfId="0" applyFont="1" applyFill="1" applyBorder="1" applyAlignment="1" applyProtection="1">
      <alignment horizontal="centerContinuous"/>
    </xf>
    <xf numFmtId="0" fontId="0" fillId="2" borderId="0" xfId="0" applyFill="1" applyBorder="1" applyAlignment="1" applyProtection="1">
      <alignment horizontal="centerContinuous" wrapText="1"/>
    </xf>
    <xf numFmtId="164" fontId="9" fillId="2" borderId="4" xfId="1" applyNumberFormat="1" applyFont="1" applyFill="1" applyBorder="1" applyAlignment="1" applyProtection="1">
      <alignment horizontal="centerContinuous"/>
    </xf>
    <xf numFmtId="0" fontId="0" fillId="2" borderId="4" xfId="0" applyFill="1" applyBorder="1" applyAlignment="1" applyProtection="1">
      <alignment horizontal="centerContinuous"/>
    </xf>
    <xf numFmtId="0" fontId="0" fillId="2" borderId="7" xfId="0" applyFill="1" applyBorder="1" applyAlignment="1" applyProtection="1">
      <alignment horizontal="centerContinuous"/>
    </xf>
    <xf numFmtId="43" fontId="10" fillId="0" borderId="0" xfId="0" applyNumberFormat="1" applyFont="1" applyFill="1" applyBorder="1" applyAlignment="1" applyProtection="1">
      <alignment horizontal="centerContinuous"/>
    </xf>
    <xf numFmtId="43" fontId="0" fillId="0" borderId="0" xfId="0" applyNumberFormat="1" applyFill="1" applyBorder="1" applyAlignment="1" applyProtection="1">
      <alignment horizontal="centerContinuous"/>
    </xf>
    <xf numFmtId="0" fontId="0" fillId="2" borderId="0" xfId="0" applyFill="1" applyBorder="1" applyAlignment="1" applyProtection="1">
      <alignment horizontal="centerContinuous"/>
    </xf>
    <xf numFmtId="0" fontId="10" fillId="2" borderId="0" xfId="0" applyFont="1" applyFill="1" applyProtection="1"/>
    <xf numFmtId="0" fontId="3" fillId="2" borderId="0" xfId="0" quotePrefix="1" applyFont="1" applyFill="1" applyAlignment="1" applyProtection="1">
      <alignment horizontal="center" wrapText="1"/>
    </xf>
    <xf numFmtId="0" fontId="3" fillId="0" borderId="0" xfId="0" applyFont="1" applyFill="1" applyAlignment="1" applyProtection="1">
      <alignment horizontal="center" wrapText="1"/>
    </xf>
    <xf numFmtId="0" fontId="3" fillId="2" borderId="0" xfId="0" applyFont="1" applyFill="1" applyAlignment="1" applyProtection="1">
      <alignment horizontal="center" wrapText="1"/>
    </xf>
    <xf numFmtId="0" fontId="3" fillId="0" borderId="0" xfId="0" applyFont="1" applyFill="1" applyBorder="1" applyAlignment="1" applyProtection="1">
      <alignment horizontal="center" wrapText="1"/>
    </xf>
    <xf numFmtId="0" fontId="3" fillId="2" borderId="0" xfId="0" applyFont="1" applyFill="1" applyAlignment="1" applyProtection="1">
      <alignment horizontal="right"/>
    </xf>
    <xf numFmtId="44" fontId="9" fillId="0" borderId="0" xfId="3" applyFont="1" applyFill="1" applyProtection="1"/>
    <xf numFmtId="168" fontId="9" fillId="0" borderId="0" xfId="1" applyNumberFormat="1" applyFont="1" applyFill="1" applyAlignment="1" applyProtection="1">
      <alignment horizontal="center"/>
    </xf>
    <xf numFmtId="44" fontId="9" fillId="2" borderId="0" xfId="3" applyFont="1" applyFill="1" applyProtection="1"/>
    <xf numFmtId="168" fontId="9" fillId="0" borderId="0" xfId="1" applyNumberFormat="1" applyFont="1" applyFill="1" applyBorder="1" applyAlignment="1" applyProtection="1">
      <alignment horizontal="center"/>
    </xf>
    <xf numFmtId="43" fontId="0" fillId="0" borderId="0" xfId="0" applyNumberFormat="1" applyFill="1" applyBorder="1" applyAlignment="1" applyProtection="1">
      <alignment horizontal="center"/>
    </xf>
    <xf numFmtId="43" fontId="0" fillId="2" borderId="0" xfId="0" applyNumberFormat="1" applyFill="1" applyBorder="1" applyAlignment="1" applyProtection="1">
      <alignment horizontal="center"/>
    </xf>
    <xf numFmtId="43" fontId="0" fillId="0" borderId="0" xfId="0" quotePrefix="1" applyNumberFormat="1" applyFill="1" applyAlignment="1" applyProtection="1">
      <alignment horizontal="center"/>
    </xf>
    <xf numFmtId="164" fontId="0" fillId="0" borderId="0" xfId="0" applyNumberFormat="1" applyFill="1" applyProtection="1"/>
    <xf numFmtId="43" fontId="0" fillId="0" borderId="0" xfId="0" applyNumberFormat="1" applyFill="1" applyProtection="1"/>
    <xf numFmtId="43" fontId="9" fillId="2" borderId="0" xfId="1" applyFont="1" applyFill="1" applyProtection="1"/>
    <xf numFmtId="43" fontId="13" fillId="0" borderId="0" xfId="1" applyFont="1" applyFill="1" applyProtection="1"/>
    <xf numFmtId="44" fontId="0" fillId="0" borderId="0" xfId="0" applyNumberFormat="1" applyFill="1" applyProtection="1"/>
    <xf numFmtId="0" fontId="12" fillId="2" borderId="0" xfId="0" applyFont="1" applyFill="1" applyProtection="1"/>
    <xf numFmtId="43" fontId="14" fillId="0" borderId="0" xfId="0" applyNumberFormat="1" applyFont="1" applyFill="1" applyBorder="1" applyAlignment="1" applyProtection="1">
      <alignment horizontal="center"/>
    </xf>
    <xf numFmtId="0" fontId="11" fillId="2" borderId="0" xfId="0" applyFont="1" applyFill="1" applyProtection="1"/>
    <xf numFmtId="169" fontId="9" fillId="0" borderId="0" xfId="3" applyNumberFormat="1" applyFont="1" applyFill="1" applyProtection="1"/>
    <xf numFmtId="43" fontId="13" fillId="0" borderId="0" xfId="0" applyNumberFormat="1" applyFont="1" applyFill="1" applyBorder="1" applyProtection="1"/>
    <xf numFmtId="9" fontId="9" fillId="0" borderId="0" xfId="5" applyFont="1" applyFill="1" applyProtection="1"/>
    <xf numFmtId="44" fontId="0" fillId="2" borderId="0" xfId="0" applyNumberFormat="1" applyFill="1" applyProtection="1"/>
    <xf numFmtId="0" fontId="3" fillId="2" borderId="0" xfId="0" applyFont="1" applyFill="1" applyAlignment="1" applyProtection="1">
      <alignment horizontal="left"/>
    </xf>
    <xf numFmtId="0" fontId="0" fillId="0" borderId="0" xfId="0" quotePrefix="1" applyFill="1" applyBorder="1" applyProtection="1"/>
    <xf numFmtId="0" fontId="3" fillId="0" borderId="0" xfId="0" applyFont="1" applyFill="1" applyAlignment="1" applyProtection="1">
      <alignment horizontal="left"/>
    </xf>
    <xf numFmtId="2" fontId="0" fillId="0" borderId="0" xfId="0" applyNumberFormat="1" applyFill="1" applyProtection="1"/>
    <xf numFmtId="165" fontId="9" fillId="0" borderId="0" xfId="1" quotePrefix="1" applyNumberFormat="1" applyFont="1" applyFill="1" applyAlignment="1" applyProtection="1">
      <alignment horizontal="left"/>
    </xf>
    <xf numFmtId="0" fontId="0" fillId="0" borderId="0" xfId="0" applyFill="1" applyAlignment="1" applyProtection="1">
      <alignment horizontal="left"/>
    </xf>
    <xf numFmtId="0" fontId="0" fillId="0" borderId="0" xfId="0" quotePrefix="1" applyFill="1" applyBorder="1" applyAlignment="1" applyProtection="1">
      <alignment horizontal="left"/>
    </xf>
    <xf numFmtId="0" fontId="3" fillId="0" borderId="0" xfId="0" applyFont="1" applyFill="1" applyBorder="1" applyProtection="1"/>
    <xf numFmtId="0" fontId="2" fillId="0" borderId="0" xfId="0" applyFont="1" applyFill="1" applyBorder="1" applyAlignment="1" applyProtection="1">
      <alignment horizontal="right"/>
    </xf>
    <xf numFmtId="0" fontId="0" fillId="0" borderId="0" xfId="0" applyFill="1" applyBorder="1" applyAlignment="1" applyProtection="1">
      <alignment horizontal="center" wrapText="1"/>
    </xf>
    <xf numFmtId="0" fontId="0" fillId="0" borderId="0" xfId="0" quotePrefix="1" applyFill="1" applyBorder="1" applyAlignment="1" applyProtection="1">
      <alignment horizontal="right"/>
    </xf>
    <xf numFmtId="0" fontId="3" fillId="0" borderId="0" xfId="0" applyFont="1" applyFill="1" applyBorder="1" applyAlignment="1" applyProtection="1">
      <alignment horizontal="left"/>
    </xf>
    <xf numFmtId="44" fontId="0" fillId="0" borderId="0" xfId="0" applyNumberFormat="1" applyFill="1" applyBorder="1" applyProtection="1"/>
    <xf numFmtId="43" fontId="0" fillId="0" borderId="0" xfId="0" applyNumberFormat="1" applyFill="1" applyBorder="1" applyProtection="1"/>
    <xf numFmtId="44" fontId="9" fillId="0" borderId="0" xfId="3" applyFont="1" applyFill="1" applyBorder="1" applyProtection="1"/>
    <xf numFmtId="2" fontId="0" fillId="0" borderId="0" xfId="0" applyNumberFormat="1" applyFill="1" applyBorder="1" applyProtection="1"/>
    <xf numFmtId="9" fontId="9" fillId="0" borderId="0" xfId="1" applyNumberFormat="1" applyFont="1" applyFill="1" applyBorder="1" applyProtection="1"/>
    <xf numFmtId="9" fontId="9" fillId="0" borderId="0" xfId="5" applyFont="1" applyFill="1" applyBorder="1" applyProtection="1"/>
    <xf numFmtId="0" fontId="0" fillId="0" borderId="0" xfId="0" applyFill="1" applyBorder="1" applyAlignment="1" applyProtection="1">
      <alignment horizontal="left"/>
    </xf>
    <xf numFmtId="164" fontId="9" fillId="0" borderId="0" xfId="1" applyNumberFormat="1" applyFont="1" applyFill="1" applyBorder="1" applyProtection="1"/>
    <xf numFmtId="164" fontId="0" fillId="0" borderId="0" xfId="0" applyNumberFormat="1" applyFill="1" applyBorder="1" applyProtection="1"/>
    <xf numFmtId="0" fontId="0" fillId="2" borderId="0" xfId="0" applyFill="1" applyAlignment="1" applyProtection="1">
      <alignment horizontal="left"/>
    </xf>
    <xf numFmtId="165" fontId="0" fillId="2" borderId="0" xfId="0" applyNumberFormat="1" applyFill="1" applyProtection="1"/>
    <xf numFmtId="0" fontId="0" fillId="2" borderId="0" xfId="0" applyFill="1" applyAlignment="1" applyProtection="1">
      <alignment horizontal="center" wrapText="1"/>
    </xf>
    <xf numFmtId="0" fontId="4" fillId="2" borderId="0" xfId="0" applyFont="1" applyFill="1" applyAlignment="1" applyProtection="1">
      <alignment horizontal="center"/>
    </xf>
    <xf numFmtId="0" fontId="0" fillId="2" borderId="0" xfId="0" applyFill="1" applyAlignment="1" applyProtection="1">
      <alignment horizontal="center"/>
    </xf>
    <xf numFmtId="1" fontId="0" fillId="2" borderId="0" xfId="0" applyNumberFormat="1" applyFill="1" applyAlignment="1" applyProtection="1">
      <alignment horizontal="center"/>
    </xf>
    <xf numFmtId="1" fontId="0" fillId="0" borderId="0" xfId="0" applyNumberFormat="1" applyFill="1" applyAlignment="1" applyProtection="1">
      <alignment horizontal="center"/>
    </xf>
    <xf numFmtId="0" fontId="5" fillId="5" borderId="0" xfId="0" applyFont="1" applyFill="1" applyProtection="1">
      <protection locked="0"/>
    </xf>
    <xf numFmtId="0" fontId="5" fillId="0" borderId="0" xfId="0" applyFont="1" applyFill="1" applyProtection="1"/>
    <xf numFmtId="14" fontId="0" fillId="5" borderId="0" xfId="0" applyNumberFormat="1" applyFill="1" applyProtection="1">
      <protection locked="0"/>
    </xf>
    <xf numFmtId="6" fontId="9" fillId="5" borderId="0" xfId="3" applyNumberFormat="1" applyFont="1" applyFill="1" applyProtection="1">
      <protection locked="0"/>
    </xf>
    <xf numFmtId="164" fontId="9" fillId="5" borderId="0" xfId="1" applyNumberFormat="1" applyFont="1" applyFill="1" applyProtection="1">
      <protection locked="0"/>
    </xf>
    <xf numFmtId="168" fontId="9" fillId="5" borderId="0" xfId="1" applyNumberFormat="1" applyFont="1" applyFill="1" applyAlignment="1" applyProtection="1">
      <alignment horizontal="center"/>
      <protection locked="0"/>
    </xf>
    <xf numFmtId="0" fontId="5" fillId="0" borderId="0" xfId="0" applyFont="1" applyFill="1" applyAlignment="1" applyProtection="1"/>
    <xf numFmtId="0" fontId="0" fillId="0" borderId="0" xfId="0" applyFill="1" applyAlignment="1" applyProtection="1"/>
    <xf numFmtId="0" fontId="0" fillId="0" borderId="0" xfId="0" applyAlignment="1" applyProtection="1"/>
    <xf numFmtId="0" fontId="0" fillId="4" borderId="0" xfId="0" applyFill="1" applyBorder="1" applyProtection="1"/>
    <xf numFmtId="0" fontId="0" fillId="4" borderId="0" xfId="0" quotePrefix="1" applyFill="1" applyBorder="1" applyAlignment="1" applyProtection="1">
      <alignment horizontal="left"/>
    </xf>
    <xf numFmtId="0" fontId="0" fillId="4" borderId="0" xfId="0" applyFill="1" applyProtection="1"/>
    <xf numFmtId="44" fontId="0" fillId="0" borderId="0" xfId="0" applyNumberFormat="1" applyProtection="1"/>
    <xf numFmtId="164" fontId="9" fillId="0" borderId="0" xfId="1" applyNumberFormat="1" applyFont="1" applyProtection="1"/>
    <xf numFmtId="164" fontId="0" fillId="0" borderId="0" xfId="0" applyNumberFormat="1" applyProtection="1"/>
    <xf numFmtId="14" fontId="5" fillId="0" borderId="0" xfId="0" applyNumberFormat="1" applyFont="1" applyFill="1" applyAlignment="1" applyProtection="1">
      <alignment horizontal="left"/>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49" fontId="5" fillId="5" borderId="0" xfId="0" applyNumberFormat="1" applyFont="1" applyFill="1" applyProtection="1">
      <protection locked="0"/>
    </xf>
    <xf numFmtId="49" fontId="5" fillId="0" borderId="0" xfId="0" applyNumberFormat="1" applyFont="1" applyFill="1" applyAlignment="1"/>
    <xf numFmtId="0" fontId="12" fillId="2" borderId="0" xfId="0" applyFont="1" applyFill="1" applyAlignment="1" applyProtection="1">
      <alignment horizontal="center" wrapText="1"/>
    </xf>
    <xf numFmtId="38" fontId="9" fillId="5" borderId="0" xfId="1" applyNumberFormat="1" applyFont="1" applyFill="1" applyProtection="1">
      <protection locked="0"/>
    </xf>
    <xf numFmtId="8" fontId="9" fillId="0" borderId="0" xfId="3" quotePrefix="1" applyNumberFormat="1" applyFont="1" applyFill="1" applyAlignment="1" applyProtection="1">
      <alignment horizontal="right"/>
    </xf>
    <xf numFmtId="43" fontId="9" fillId="0" borderId="0" xfId="1" quotePrefix="1" applyFont="1" applyFill="1" applyAlignment="1" applyProtection="1">
      <alignment horizontal="right"/>
    </xf>
    <xf numFmtId="7" fontId="9" fillId="5" borderId="0" xfId="3" applyNumberFormat="1" applyFont="1" applyFill="1" applyAlignment="1" applyProtection="1">
      <alignment horizontal="right"/>
      <protection locked="0"/>
    </xf>
    <xf numFmtId="40" fontId="9" fillId="5" borderId="0" xfId="1" applyNumberFormat="1" applyFont="1" applyFill="1" applyProtection="1">
      <protection locked="0"/>
    </xf>
    <xf numFmtId="40" fontId="9" fillId="5" borderId="0" xfId="1" applyNumberFormat="1" applyFont="1" applyFill="1" applyProtection="1">
      <protection locked="0"/>
    </xf>
    <xf numFmtId="8" fontId="9" fillId="5" borderId="0" xfId="3" applyNumberFormat="1" applyFont="1" applyFill="1" applyProtection="1">
      <protection locked="0"/>
    </xf>
    <xf numFmtId="40" fontId="9" fillId="0" borderId="0" xfId="1" applyNumberFormat="1" applyFont="1" applyFill="1" applyProtection="1"/>
    <xf numFmtId="40" fontId="13" fillId="0" borderId="0" xfId="1" applyNumberFormat="1" applyFont="1" applyFill="1" applyProtection="1"/>
    <xf numFmtId="8" fontId="9" fillId="0" borderId="0" xfId="3" applyNumberFormat="1" applyFont="1" applyFill="1" applyProtection="1"/>
    <xf numFmtId="7" fontId="9" fillId="0" borderId="0" xfId="3" applyNumberFormat="1" applyFont="1" applyFill="1" applyProtection="1"/>
    <xf numFmtId="40" fontId="0" fillId="0" borderId="0" xfId="0" applyNumberFormat="1" applyFill="1" applyProtection="1"/>
    <xf numFmtId="40" fontId="9" fillId="2" borderId="0" xfId="1" applyNumberFormat="1" applyFont="1" applyFill="1" applyProtection="1"/>
    <xf numFmtId="8" fontId="9" fillId="2" borderId="0" xfId="3" applyNumberFormat="1" applyFont="1" applyFill="1" applyProtection="1"/>
    <xf numFmtId="38" fontId="13" fillId="0" borderId="0" xfId="1" applyNumberFormat="1" applyFont="1" applyFill="1" applyProtection="1"/>
    <xf numFmtId="38" fontId="9" fillId="0" borderId="0" xfId="1" applyNumberFormat="1" applyFont="1" applyFill="1" applyProtection="1"/>
    <xf numFmtId="38" fontId="9" fillId="0" borderId="0" xfId="1" applyNumberFormat="1" applyFont="1" applyFill="1" applyProtection="1"/>
    <xf numFmtId="8" fontId="0" fillId="2" borderId="0" xfId="0" applyNumberFormat="1" applyFill="1" applyProtection="1"/>
    <xf numFmtId="8" fontId="0" fillId="0" borderId="0" xfId="0" applyNumberFormat="1" applyFont="1" applyFill="1" applyProtection="1"/>
    <xf numFmtId="40" fontId="0" fillId="2" borderId="0" xfId="0" applyNumberFormat="1" applyFill="1" applyProtection="1"/>
    <xf numFmtId="40" fontId="0" fillId="2" borderId="0" xfId="0" applyNumberFormat="1" applyFont="1" applyFill="1" applyProtection="1"/>
    <xf numFmtId="40" fontId="13" fillId="2" borderId="0" xfId="0" applyNumberFormat="1" applyFont="1" applyFill="1" applyProtection="1"/>
    <xf numFmtId="0" fontId="10" fillId="2" borderId="1" xfId="0" applyFont="1" applyFill="1" applyBorder="1" applyAlignment="1" applyProtection="1">
      <alignment horizontal="center"/>
    </xf>
    <xf numFmtId="0" fontId="11" fillId="2" borderId="0" xfId="0" applyFont="1" applyFill="1" applyBorder="1" applyAlignment="1" applyProtection="1">
      <alignment horizontal="center"/>
    </xf>
    <xf numFmtId="43" fontId="14" fillId="0" borderId="0" xfId="0" applyNumberFormat="1" applyFont="1" applyFill="1" applyBorder="1" applyAlignment="1" applyProtection="1">
      <alignment horizontal="right"/>
    </xf>
    <xf numFmtId="49" fontId="0" fillId="5" borderId="0" xfId="0" quotePrefix="1" applyNumberFormat="1" applyFill="1" applyAlignment="1" applyProtection="1">
      <alignment horizontal="center"/>
      <protection locked="0"/>
    </xf>
    <xf numFmtId="49" fontId="0" fillId="0" borderId="0" xfId="0" applyNumberFormat="1"/>
    <xf numFmtId="40" fontId="9" fillId="5" borderId="0" xfId="3" applyNumberFormat="1" applyFont="1" applyFill="1" applyProtection="1">
      <protection locked="0"/>
    </xf>
    <xf numFmtId="0" fontId="0" fillId="0" borderId="0" xfId="0" quotePrefix="1" applyAlignment="1">
      <alignment wrapText="1"/>
    </xf>
    <xf numFmtId="0" fontId="10" fillId="0" borderId="10" xfId="0" applyFont="1" applyBorder="1" applyAlignment="1" applyProtection="1">
      <alignment horizontal="center" vertical="center" textRotation="90"/>
    </xf>
    <xf numFmtId="0" fontId="0" fillId="0" borderId="0" xfId="0"/>
    <xf numFmtId="0" fontId="0" fillId="2" borderId="0" xfId="0" applyFill="1"/>
    <xf numFmtId="0" fontId="0" fillId="0" borderId="0" xfId="0" applyFill="1" applyBorder="1"/>
    <xf numFmtId="0" fontId="0" fillId="3" borderId="3" xfId="0" applyFill="1" applyBorder="1"/>
    <xf numFmtId="0" fontId="0" fillId="3" borderId="4" xfId="0" applyFill="1" applyBorder="1"/>
    <xf numFmtId="0" fontId="3" fillId="3" borderId="6" xfId="0" applyFont="1" applyFill="1" applyBorder="1"/>
    <xf numFmtId="0" fontId="0" fillId="2" borderId="8" xfId="0" applyFill="1" applyBorder="1"/>
    <xf numFmtId="0" fontId="10" fillId="4" borderId="0" xfId="0" applyFont="1" applyFill="1" applyBorder="1"/>
    <xf numFmtId="44" fontId="0" fillId="0" borderId="0" xfId="0" applyNumberFormat="1" applyBorder="1" applyAlignment="1">
      <alignment horizontal="center"/>
    </xf>
    <xf numFmtId="0" fontId="0" fillId="0" borderId="3" xfId="0" applyFont="1" applyBorder="1" applyAlignment="1">
      <alignment horizontal="center"/>
    </xf>
    <xf numFmtId="0" fontId="3" fillId="3" borderId="1" xfId="0" applyFont="1" applyFill="1" applyBorder="1"/>
    <xf numFmtId="164" fontId="0" fillId="0" borderId="8" xfId="0" quotePrefix="1" applyNumberFormat="1" applyBorder="1" applyProtection="1"/>
    <xf numFmtId="172" fontId="0" fillId="5" borderId="0" xfId="0" applyNumberFormat="1" applyFill="1" applyProtection="1">
      <protection locked="0"/>
    </xf>
    <xf numFmtId="2" fontId="0" fillId="5" borderId="0" xfId="0" applyNumberFormat="1" applyFill="1" applyProtection="1">
      <protection locked="0"/>
    </xf>
    <xf numFmtId="10" fontId="9" fillId="5" borderId="0" xfId="5" applyNumberFormat="1" applyFont="1" applyFill="1" applyProtection="1">
      <protection locked="0"/>
    </xf>
    <xf numFmtId="0" fontId="0" fillId="0" borderId="1" xfId="0" applyBorder="1" applyProtection="1"/>
    <xf numFmtId="0" fontId="0" fillId="0" borderId="4" xfId="0" applyBorder="1" applyProtection="1"/>
    <xf numFmtId="170" fontId="9" fillId="5" borderId="8" xfId="1" applyNumberFormat="1" applyFont="1" applyFill="1" applyBorder="1" applyProtection="1">
      <protection locked="0"/>
    </xf>
    <xf numFmtId="170" fontId="9" fillId="4" borderId="8" xfId="1" applyNumberFormat="1" applyFont="1" applyFill="1" applyBorder="1" applyProtection="1"/>
    <xf numFmtId="10" fontId="9" fillId="5" borderId="8" xfId="5" applyNumberFormat="1" applyFont="1" applyFill="1" applyBorder="1" applyProtection="1">
      <protection locked="0"/>
    </xf>
    <xf numFmtId="10" fontId="9" fillId="0" borderId="8" xfId="5" applyNumberFormat="1" applyFont="1" applyFill="1" applyBorder="1" applyProtection="1"/>
    <xf numFmtId="170" fontId="9" fillId="0" borderId="8" xfId="1" applyNumberFormat="1" applyFont="1" applyBorder="1" applyProtection="1"/>
    <xf numFmtId="10" fontId="9" fillId="2" borderId="0" xfId="5" applyNumberFormat="1" applyFont="1" applyFill="1" applyProtection="1"/>
    <xf numFmtId="10" fontId="9" fillId="0" borderId="0" xfId="5" applyNumberFormat="1" applyFont="1" applyFill="1" applyProtection="1"/>
    <xf numFmtId="10" fontId="0" fillId="2" borderId="0" xfId="0" applyNumberFormat="1" applyFill="1" applyProtection="1"/>
    <xf numFmtId="0" fontId="0" fillId="6" borderId="8" xfId="0" applyFill="1" applyBorder="1" applyProtection="1"/>
    <xf numFmtId="0" fontId="0" fillId="0" borderId="0" xfId="0"/>
    <xf numFmtId="0" fontId="0" fillId="2" borderId="8" xfId="0" applyFill="1" applyBorder="1"/>
    <xf numFmtId="43" fontId="0" fillId="0" borderId="0" xfId="0" applyNumberFormat="1"/>
    <xf numFmtId="44" fontId="0" fillId="0" borderId="0" xfId="0" applyNumberFormat="1" applyBorder="1" applyAlignment="1">
      <alignment horizontal="center"/>
    </xf>
    <xf numFmtId="0" fontId="0" fillId="0" borderId="3" xfId="0" applyFont="1" applyBorder="1" applyAlignment="1">
      <alignment horizontal="center"/>
    </xf>
    <xf numFmtId="165" fontId="0" fillId="0" borderId="0" xfId="0" applyNumberFormat="1"/>
    <xf numFmtId="164" fontId="0" fillId="0" borderId="0" xfId="0" applyNumberFormat="1"/>
    <xf numFmtId="0" fontId="0" fillId="0" borderId="8" xfId="0" applyBorder="1" applyProtection="1"/>
    <xf numFmtId="0" fontId="0" fillId="4" borderId="8" xfId="0" quotePrefix="1" applyFill="1" applyBorder="1" applyAlignment="1" applyProtection="1">
      <alignment horizontal="right"/>
    </xf>
    <xf numFmtId="44" fontId="0" fillId="0" borderId="8" xfId="0" applyNumberFormat="1" applyBorder="1" applyProtection="1"/>
    <xf numFmtId="164" fontId="0" fillId="0" borderId="8" xfId="0" applyNumberFormat="1" applyBorder="1" applyProtection="1"/>
    <xf numFmtId="0" fontId="0" fillId="5" borderId="10" xfId="0" applyFill="1" applyBorder="1" applyAlignment="1" applyProtection="1">
      <alignment horizontal="center" wrapText="1"/>
      <protection locked="0"/>
    </xf>
    <xf numFmtId="9" fontId="0" fillId="5" borderId="11" xfId="0" quotePrefix="1" applyNumberFormat="1" applyFill="1" applyBorder="1" applyAlignment="1" applyProtection="1">
      <alignment horizontal="center"/>
      <protection locked="0"/>
    </xf>
    <xf numFmtId="0" fontId="0" fillId="0" borderId="0" xfId="0" applyProtection="1"/>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8"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Protection="1"/>
    <xf numFmtId="0" fontId="0" fillId="4" borderId="8" xfId="0" applyFill="1" applyBorder="1" applyProtection="1"/>
    <xf numFmtId="0" fontId="0" fillId="4" borderId="11" xfId="0" applyFill="1" applyBorder="1" applyProtection="1"/>
    <xf numFmtId="0" fontId="0" fillId="0" borderId="8" xfId="0" applyFill="1" applyBorder="1" applyAlignment="1" applyProtection="1">
      <alignment horizontal="left" wrapText="1"/>
    </xf>
    <xf numFmtId="0" fontId="0" fillId="0" borderId="11" xfId="0" applyFill="1" applyBorder="1" applyAlignment="1" applyProtection="1">
      <alignment horizontal="left" wrapText="1"/>
    </xf>
    <xf numFmtId="0" fontId="10" fillId="4" borderId="0" xfId="0" applyFont="1" applyFill="1" applyBorder="1" applyProtection="1"/>
    <xf numFmtId="0" fontId="0" fillId="0" borderId="8" xfId="0" applyBorder="1" applyAlignment="1" applyProtection="1">
      <alignment horizontal="center"/>
    </xf>
    <xf numFmtId="43" fontId="0" fillId="0" borderId="0" xfId="0" applyNumberFormat="1" applyProtection="1"/>
    <xf numFmtId="0" fontId="0" fillId="2" borderId="10" xfId="0" quotePrefix="1" applyFill="1" applyBorder="1" applyAlignment="1" applyProtection="1">
      <alignment horizontal="left"/>
    </xf>
    <xf numFmtId="0" fontId="0" fillId="2" borderId="10" xfId="0" applyFill="1" applyBorder="1" applyAlignment="1" applyProtection="1">
      <alignment horizontal="left"/>
    </xf>
    <xf numFmtId="0" fontId="0" fillId="2" borderId="8" xfId="0" applyFill="1" applyBorder="1" applyAlignment="1" applyProtection="1">
      <alignment horizontal="left"/>
    </xf>
    <xf numFmtId="0" fontId="0" fillId="2" borderId="0" xfId="0" applyFill="1" applyBorder="1" applyAlignment="1" applyProtection="1">
      <alignment horizontal="left"/>
    </xf>
    <xf numFmtId="0" fontId="0" fillId="0" borderId="8" xfId="0" applyBorder="1" applyAlignment="1" applyProtection="1">
      <alignment wrapText="1"/>
    </xf>
    <xf numFmtId="0" fontId="10" fillId="0" borderId="0" xfId="0" applyFont="1" applyProtection="1"/>
    <xf numFmtId="44" fontId="0" fillId="0" borderId="8" xfId="0" quotePrefix="1" applyNumberFormat="1" applyBorder="1" applyProtection="1"/>
    <xf numFmtId="0" fontId="0" fillId="0" borderId="12" xfId="0" applyBorder="1" applyAlignment="1" applyProtection="1">
      <alignment wrapText="1"/>
    </xf>
    <xf numFmtId="0" fontId="0" fillId="0" borderId="12" xfId="0" applyBorder="1" applyProtection="1"/>
    <xf numFmtId="6" fontId="0" fillId="0" borderId="8" xfId="0" quotePrefix="1" applyNumberFormat="1" applyBorder="1" applyProtection="1"/>
    <xf numFmtId="0" fontId="0" fillId="6" borderId="8" xfId="0" applyFill="1" applyBorder="1" applyProtection="1"/>
    <xf numFmtId="164" fontId="0" fillId="0" borderId="8" xfId="0" applyNumberFormat="1" applyFill="1" applyBorder="1" applyAlignment="1" applyProtection="1">
      <alignment wrapText="1"/>
    </xf>
    <xf numFmtId="0" fontId="0" fillId="0" borderId="8" xfId="0" quotePrefix="1" applyFill="1" applyBorder="1" applyAlignment="1" applyProtection="1">
      <alignment horizontal="left" wrapText="1"/>
    </xf>
    <xf numFmtId="0" fontId="0" fillId="0" borderId="8" xfId="0" applyFill="1" applyBorder="1" applyAlignment="1" applyProtection="1">
      <alignment horizontal="left" wrapText="1" indent="2"/>
    </xf>
    <xf numFmtId="6" fontId="0" fillId="0" borderId="8" xfId="0" applyNumberFormat="1" applyBorder="1" applyProtection="1"/>
    <xf numFmtId="0" fontId="10" fillId="0" borderId="10" xfId="0" applyFont="1" applyBorder="1" applyAlignment="1" applyProtection="1">
      <alignment horizontal="center" vertical="center" textRotation="90"/>
    </xf>
    <xf numFmtId="0" fontId="10" fillId="0" borderId="11" xfId="0" applyFont="1" applyBorder="1" applyAlignment="1" applyProtection="1">
      <alignment horizontal="center" vertical="center" textRotation="90"/>
    </xf>
    <xf numFmtId="0" fontId="0" fillId="0" borderId="7" xfId="0" applyBorder="1" applyProtection="1"/>
    <xf numFmtId="0" fontId="10" fillId="0" borderId="0" xfId="0" applyFont="1" applyFill="1" applyBorder="1" applyAlignment="1" applyProtection="1">
      <alignment horizontal="center" vertical="center" textRotation="90"/>
    </xf>
    <xf numFmtId="0" fontId="0" fillId="0" borderId="0" xfId="0" applyFill="1" applyBorder="1" applyAlignment="1" applyProtection="1">
      <alignment wrapText="1"/>
    </xf>
    <xf numFmtId="0" fontId="0" fillId="0" borderId="9" xfId="0" applyBorder="1" applyProtection="1"/>
    <xf numFmtId="0" fontId="0" fillId="0" borderId="10" xfId="0" applyBorder="1" applyProtection="1"/>
    <xf numFmtId="0" fontId="0" fillId="0" borderId="11" xfId="0" applyBorder="1" applyProtection="1"/>
    <xf numFmtId="0" fontId="10" fillId="0" borderId="0" xfId="0" applyFont="1" applyFill="1" applyBorder="1" applyAlignment="1" applyProtection="1"/>
    <xf numFmtId="0" fontId="0" fillId="0" borderId="0" xfId="0" applyBorder="1" applyProtection="1"/>
    <xf numFmtId="0" fontId="0" fillId="0" borderId="7" xfId="0" applyFill="1" applyBorder="1" applyAlignment="1" applyProtection="1">
      <alignment wrapText="1"/>
    </xf>
    <xf numFmtId="14" fontId="0" fillId="5" borderId="11" xfId="0" quotePrefix="1" applyNumberFormat="1" applyFill="1" applyBorder="1" applyAlignment="1" applyProtection="1">
      <alignment horizontal="center"/>
      <protection locked="0"/>
    </xf>
    <xf numFmtId="166" fontId="0" fillId="0" borderId="0" xfId="0" applyNumberFormat="1" applyBorder="1" applyProtection="1"/>
    <xf numFmtId="164" fontId="0" fillId="0" borderId="8" xfId="0" quotePrefix="1" applyNumberFormat="1" applyBorder="1" applyProtection="1"/>
    <xf numFmtId="167" fontId="0" fillId="5" borderId="10" xfId="0" applyNumberFormat="1" applyFill="1" applyBorder="1" applyAlignment="1" applyProtection="1">
      <alignment horizontal="center" wrapText="1"/>
      <protection locked="0"/>
    </xf>
    <xf numFmtId="0" fontId="0" fillId="0" borderId="13" xfId="0" applyFill="1" applyBorder="1" applyAlignment="1" applyProtection="1">
      <alignment wrapText="1"/>
    </xf>
    <xf numFmtId="0" fontId="0" fillId="0" borderId="1" xfId="0" applyBorder="1" applyProtection="1"/>
    <xf numFmtId="0" fontId="0" fillId="0" borderId="4" xfId="0" applyBorder="1" applyProtection="1"/>
    <xf numFmtId="10" fontId="0" fillId="5" borderId="11" xfId="0" quotePrefix="1" applyNumberFormat="1" applyFill="1" applyBorder="1" applyAlignment="1" applyProtection="1">
      <alignment horizontal="right"/>
      <protection locked="0"/>
    </xf>
    <xf numFmtId="10" fontId="0" fillId="0" borderId="11" xfId="0" quotePrefix="1" applyNumberFormat="1" applyFill="1" applyBorder="1" applyAlignment="1" applyProtection="1">
      <alignment horizontal="right"/>
    </xf>
    <xf numFmtId="49" fontId="0" fillId="5" borderId="9" xfId="0" applyNumberFormat="1" applyFill="1" applyBorder="1" applyAlignment="1" applyProtection="1">
      <alignment horizontal="center"/>
      <protection locked="0"/>
    </xf>
    <xf numFmtId="0" fontId="0" fillId="5" borderId="11" xfId="0" applyFill="1" applyBorder="1" applyAlignment="1" applyProtection="1">
      <alignment horizontal="center"/>
      <protection locked="0"/>
    </xf>
    <xf numFmtId="10" fontId="9" fillId="4" borderId="8" xfId="5" applyNumberFormat="1" applyFont="1" applyFill="1" applyBorder="1" applyProtection="1"/>
    <xf numFmtId="170" fontId="0" fillId="0" borderId="8" xfId="0" quotePrefix="1" applyNumberFormat="1" applyBorder="1" applyProtection="1"/>
    <xf numFmtId="170" fontId="9" fillId="5" borderId="8" xfId="3" applyNumberFormat="1" applyFont="1" applyFill="1" applyBorder="1" applyProtection="1">
      <protection locked="0"/>
    </xf>
    <xf numFmtId="171" fontId="0" fillId="0" borderId="8" xfId="0" quotePrefix="1" applyNumberFormat="1" applyBorder="1" applyProtection="1"/>
    <xf numFmtId="171" fontId="9" fillId="0" borderId="8" xfId="3" applyNumberFormat="1" applyFont="1" applyFill="1" applyBorder="1" applyProtection="1"/>
    <xf numFmtId="171" fontId="9" fillId="5" borderId="8" xfId="3" applyNumberFormat="1" applyFont="1" applyFill="1" applyBorder="1" applyProtection="1">
      <protection locked="0"/>
    </xf>
    <xf numFmtId="171" fontId="9" fillId="0" borderId="8" xfId="3" quotePrefix="1" applyNumberFormat="1" applyFont="1" applyBorder="1" applyProtection="1"/>
    <xf numFmtId="171" fontId="9" fillId="5" borderId="8" xfId="4" applyNumberFormat="1" applyFont="1" applyFill="1" applyBorder="1" applyProtection="1">
      <protection locked="0"/>
    </xf>
    <xf numFmtId="171" fontId="9" fillId="0" borderId="8" xfId="1" quotePrefix="1" applyNumberFormat="1" applyFont="1" applyBorder="1" applyProtection="1"/>
    <xf numFmtId="171" fontId="9" fillId="7" borderId="8" xfId="4" applyNumberFormat="1" applyFont="1" applyFill="1" applyBorder="1" applyProtection="1">
      <protection locked="0"/>
    </xf>
    <xf numFmtId="10" fontId="9" fillId="0" borderId="8" xfId="5" quotePrefix="1" applyNumberFormat="1" applyFont="1" applyBorder="1" applyProtection="1"/>
    <xf numFmtId="170" fontId="0" fillId="0" borderId="10" xfId="0" quotePrefix="1" applyNumberFormat="1" applyFill="1" applyBorder="1" applyProtection="1"/>
    <xf numFmtId="3" fontId="0" fillId="0" borderId="8" xfId="0" quotePrefix="1" applyNumberFormat="1" applyBorder="1" applyProtection="1"/>
    <xf numFmtId="3" fontId="9" fillId="5" borderId="8" xfId="1" applyNumberFormat="1" applyFont="1" applyFill="1" applyBorder="1" applyProtection="1">
      <protection locked="0"/>
    </xf>
    <xf numFmtId="170" fontId="0" fillId="0" borderId="9" xfId="0" quotePrefix="1" applyNumberFormat="1" applyFill="1" applyBorder="1" applyProtection="1"/>
    <xf numFmtId="170" fontId="0" fillId="5" borderId="8" xfId="0" applyNumberFormat="1" applyFill="1" applyBorder="1" applyProtection="1">
      <protection locked="0"/>
    </xf>
    <xf numFmtId="3" fontId="0" fillId="0" borderId="8" xfId="0" applyNumberFormat="1" applyBorder="1" applyProtection="1"/>
    <xf numFmtId="3" fontId="0" fillId="5" borderId="8" xfId="0" applyNumberFormat="1" applyFill="1" applyBorder="1" applyProtection="1">
      <protection locked="0"/>
    </xf>
    <xf numFmtId="170" fontId="9" fillId="0" borderId="8" xfId="3" applyNumberFormat="1" applyFont="1" applyBorder="1" applyProtection="1"/>
    <xf numFmtId="10" fontId="0" fillId="0" borderId="8" xfId="0" applyNumberFormat="1" applyBorder="1" applyAlignment="1" applyProtection="1"/>
    <xf numFmtId="10" fontId="0" fillId="5" borderId="8" xfId="0" quotePrefix="1" applyNumberFormat="1" applyFill="1" applyBorder="1" applyAlignment="1" applyProtection="1">
      <alignment horizontal="center"/>
      <protection locked="0"/>
    </xf>
    <xf numFmtId="49" fontId="0" fillId="5" borderId="8" xfId="0" quotePrefix="1" applyNumberFormat="1" applyFill="1" applyBorder="1" applyAlignment="1" applyProtection="1">
      <alignment horizontal="center"/>
      <protection locked="0"/>
    </xf>
    <xf numFmtId="0" fontId="0" fillId="0" borderId="0" xfId="0" applyAlignment="1">
      <alignment horizontal="center"/>
    </xf>
    <xf numFmtId="38" fontId="13" fillId="4" borderId="0" xfId="1" applyNumberFormat="1" applyFont="1" applyFill="1" applyProtection="1"/>
    <xf numFmtId="4" fontId="12" fillId="5" borderId="0" xfId="0" applyNumberFormat="1" applyFont="1" applyFill="1" applyProtection="1">
      <protection locked="0"/>
    </xf>
    <xf numFmtId="4" fontId="12" fillId="7" borderId="0" xfId="0" applyNumberFormat="1" applyFont="1" applyFill="1" applyProtection="1">
      <protection locked="0"/>
    </xf>
    <xf numFmtId="0" fontId="18" fillId="2" borderId="0" xfId="0" applyFont="1" applyFill="1" applyProtection="1"/>
    <xf numFmtId="0" fontId="19" fillId="2" borderId="0" xfId="0" applyFont="1" applyFill="1" applyAlignment="1" applyProtection="1">
      <alignment vertical="top" wrapText="1"/>
    </xf>
    <xf numFmtId="0" fontId="19" fillId="0" borderId="0" xfId="0" applyFont="1" applyAlignment="1">
      <alignment vertical="top" wrapText="1"/>
    </xf>
    <xf numFmtId="170" fontId="9" fillId="5" borderId="8" xfId="2" applyNumberFormat="1" applyFont="1" applyFill="1" applyBorder="1" applyProtection="1">
      <protection locked="0"/>
    </xf>
    <xf numFmtId="171" fontId="9" fillId="7" borderId="8" xfId="3" applyNumberFormat="1" applyFont="1" applyFill="1" applyBorder="1" applyProtection="1">
      <protection locked="0"/>
    </xf>
    <xf numFmtId="171" fontId="9" fillId="7" borderId="8" xfId="1" applyNumberFormat="1" applyFont="1" applyFill="1" applyBorder="1" applyProtection="1">
      <protection locked="0"/>
    </xf>
    <xf numFmtId="10" fontId="9" fillId="5" borderId="8" xfId="6" applyNumberFormat="1" applyFont="1" applyFill="1" applyBorder="1" applyProtection="1">
      <protection locked="0"/>
    </xf>
    <xf numFmtId="44" fontId="0" fillId="6" borderId="8" xfId="0" quotePrefix="1" applyNumberFormat="1" applyFill="1" applyBorder="1" applyProtection="1"/>
    <xf numFmtId="0" fontId="0" fillId="2" borderId="0" xfId="0" applyFill="1" applyAlignment="1" applyProtection="1">
      <alignment horizontal="center" wrapText="1"/>
    </xf>
    <xf numFmtId="0" fontId="10" fillId="2" borderId="7" xfId="0" applyFont="1" applyFill="1" applyBorder="1" applyAlignment="1" applyProtection="1">
      <alignment horizontal="center" wrapText="1"/>
    </xf>
    <xf numFmtId="0" fontId="0" fillId="0" borderId="7" xfId="0" applyBorder="1" applyAlignment="1" applyProtection="1">
      <alignment horizontal="center" wrapText="1"/>
    </xf>
    <xf numFmtId="0" fontId="10" fillId="0" borderId="9" xfId="0" applyFont="1" applyBorder="1" applyAlignment="1" applyProtection="1">
      <alignment horizontal="center" vertical="center" textRotation="90"/>
    </xf>
    <xf numFmtId="0" fontId="10" fillId="0" borderId="10" xfId="0" applyFont="1" applyBorder="1" applyAlignment="1" applyProtection="1">
      <alignment horizontal="center" vertical="center" textRotation="90"/>
    </xf>
    <xf numFmtId="14" fontId="5" fillId="0" borderId="0" xfId="0" applyNumberFormat="1" applyFont="1" applyFill="1" applyAlignment="1" applyProtection="1">
      <alignment horizontal="left"/>
    </xf>
    <xf numFmtId="14" fontId="16" fillId="0" borderId="0" xfId="0" applyNumberFormat="1" applyFont="1" applyFill="1" applyAlignment="1" applyProtection="1">
      <alignment horizontal="left"/>
    </xf>
    <xf numFmtId="49" fontId="0" fillId="5" borderId="6" xfId="0" applyNumberFormat="1" applyFill="1" applyBorder="1" applyAlignment="1" applyProtection="1">
      <alignment horizontal="center"/>
      <protection locked="0"/>
    </xf>
    <xf numFmtId="49" fontId="0" fillId="5" borderId="1" xfId="0" applyNumberFormat="1" applyFill="1" applyBorder="1" applyAlignment="1" applyProtection="1">
      <alignment horizontal="center"/>
      <protection locked="0"/>
    </xf>
    <xf numFmtId="49" fontId="0" fillId="5" borderId="2" xfId="0" applyNumberFormat="1" applyFill="1" applyBorder="1" applyAlignment="1" applyProtection="1">
      <alignment horizontal="center"/>
      <protection locked="0"/>
    </xf>
    <xf numFmtId="0" fontId="0" fillId="5" borderId="3" xfId="0" applyFill="1" applyBorder="1" applyAlignment="1" applyProtection="1">
      <alignment horizontal="center"/>
      <protection locked="0"/>
    </xf>
    <xf numFmtId="0" fontId="0" fillId="5" borderId="4" xfId="0" applyFill="1" applyBorder="1" applyAlignment="1" applyProtection="1">
      <alignment horizontal="center"/>
      <protection locked="0"/>
    </xf>
    <xf numFmtId="0" fontId="0" fillId="5" borderId="5" xfId="0" applyFill="1" applyBorder="1" applyAlignment="1" applyProtection="1">
      <alignment horizontal="center"/>
      <protection locked="0"/>
    </xf>
    <xf numFmtId="10" fontId="0" fillId="5" borderId="14" xfId="0" quotePrefix="1" applyNumberFormat="1" applyFill="1" applyBorder="1" applyAlignment="1" applyProtection="1">
      <alignment horizontal="center"/>
      <protection locked="0"/>
    </xf>
    <xf numFmtId="10" fontId="0" fillId="5" borderId="7" xfId="0" quotePrefix="1" applyNumberFormat="1" applyFill="1" applyBorder="1" applyAlignment="1" applyProtection="1">
      <alignment horizontal="center"/>
      <protection locked="0"/>
    </xf>
    <xf numFmtId="10" fontId="0" fillId="5" borderId="12" xfId="0" quotePrefix="1" applyNumberFormat="1" applyFill="1" applyBorder="1" applyAlignment="1" applyProtection="1">
      <alignment horizontal="center"/>
      <protection locked="0"/>
    </xf>
    <xf numFmtId="10" fontId="0" fillId="0" borderId="14" xfId="0" applyNumberFormat="1" applyBorder="1" applyAlignment="1" applyProtection="1">
      <alignment horizontal="center"/>
    </xf>
    <xf numFmtId="10" fontId="0" fillId="0" borderId="7" xfId="0" applyNumberFormat="1" applyBorder="1" applyAlignment="1" applyProtection="1">
      <alignment horizontal="center"/>
    </xf>
    <xf numFmtId="10" fontId="0" fillId="0" borderId="12" xfId="0" applyNumberFormat="1" applyBorder="1" applyAlignment="1" applyProtection="1">
      <alignment horizontal="center"/>
    </xf>
    <xf numFmtId="14" fontId="5" fillId="0" borderId="0" xfId="0" applyNumberFormat="1" applyFont="1" applyFill="1" applyAlignment="1">
      <alignment horizontal="left"/>
    </xf>
    <xf numFmtId="14" fontId="16" fillId="0" borderId="0" xfId="0" applyNumberFormat="1" applyFont="1" applyFill="1" applyAlignment="1">
      <alignment horizontal="left"/>
    </xf>
  </cellXfs>
  <cellStyles count="7">
    <cellStyle name="Comma" xfId="1" builtinId="3"/>
    <cellStyle name="Comma 2" xfId="2"/>
    <cellStyle name="Currency" xfId="3" builtinId="4"/>
    <cellStyle name="Currency 2" xfId="4"/>
    <cellStyle name="Normal" xfId="0" builtinId="0"/>
    <cellStyle name="Percent" xfId="5" builtinId="5"/>
    <cellStyle name="Percent 2" xfId="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1043940</xdr:colOff>
          <xdr:row>1</xdr:row>
          <xdr:rowOff>20955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0</xdr:rowOff>
        </xdr:from>
        <xdr:to>
          <xdr:col>9</xdr:col>
          <xdr:colOff>120015</xdr:colOff>
          <xdr:row>1</xdr:row>
          <xdr:rowOff>28575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180975</xdr:colOff>
          <xdr:row>0</xdr:row>
          <xdr:rowOff>0</xdr:rowOff>
        </xdr:from>
        <xdr:to>
          <xdr:col>10</xdr:col>
          <xdr:colOff>405765</xdr:colOff>
          <xdr:row>1</xdr:row>
          <xdr:rowOff>28575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7</xdr:col>
          <xdr:colOff>205740</xdr:colOff>
          <xdr:row>1</xdr:row>
          <xdr:rowOff>20955</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3006090</xdr:colOff>
          <xdr:row>75</xdr:row>
          <xdr:rowOff>114300</xdr:rowOff>
        </xdr:from>
        <xdr:to>
          <xdr:col>6</xdr:col>
          <xdr:colOff>40005</xdr:colOff>
          <xdr:row>77</xdr:row>
          <xdr:rowOff>64770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120015</xdr:colOff>
          <xdr:row>75</xdr:row>
          <xdr:rowOff>114300</xdr:rowOff>
        </xdr:from>
        <xdr:to>
          <xdr:col>8</xdr:col>
          <xdr:colOff>78105</xdr:colOff>
          <xdr:row>78</xdr:row>
          <xdr:rowOff>43815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139065</xdr:colOff>
          <xdr:row>75</xdr:row>
          <xdr:rowOff>114300</xdr:rowOff>
        </xdr:from>
        <xdr:to>
          <xdr:col>9</xdr:col>
          <xdr:colOff>97155</xdr:colOff>
          <xdr:row>78</xdr:row>
          <xdr:rowOff>43815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100965</xdr:colOff>
          <xdr:row>75</xdr:row>
          <xdr:rowOff>114300</xdr:rowOff>
        </xdr:from>
        <xdr:to>
          <xdr:col>7</xdr:col>
          <xdr:colOff>59055</xdr:colOff>
          <xdr:row>77</xdr:row>
          <xdr:rowOff>64770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xdr:colOff>
          <xdr:row>0</xdr:row>
          <xdr:rowOff>0</xdr:rowOff>
        </xdr:from>
        <xdr:to>
          <xdr:col>16</xdr:col>
          <xdr:colOff>7620</xdr:colOff>
          <xdr:row>1</xdr:row>
          <xdr:rowOff>22860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158115</xdr:colOff>
          <xdr:row>2</xdr:row>
          <xdr:rowOff>226695</xdr:rowOff>
        </xdr:from>
        <xdr:to>
          <xdr:col>10</xdr:col>
          <xdr:colOff>116205</xdr:colOff>
          <xdr:row>4</xdr:row>
          <xdr:rowOff>28575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Remove Plan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T269"/>
  <sheetViews>
    <sheetView showGridLines="0" tabSelected="1" zoomScale="80" zoomScaleNormal="80" zoomScaleSheetLayoutView="40" workbookViewId="0">
      <selection activeCell="P16" sqref="P16"/>
    </sheetView>
  </sheetViews>
  <sheetFormatPr defaultColWidth="9.109375" defaultRowHeight="14.4" x14ac:dyDescent="0.3"/>
  <cols>
    <col min="1" max="1" width="3" style="92" customWidth="1"/>
    <col min="2" max="2" width="5" style="92" customWidth="1"/>
    <col min="3" max="3" width="10.44140625" style="92" customWidth="1"/>
    <col min="4" max="4" width="19.44140625" style="92" customWidth="1"/>
    <col min="5" max="5" width="15.44140625" style="92" customWidth="1"/>
    <col min="6" max="6" width="16.44140625" style="92" customWidth="1"/>
    <col min="7" max="7" width="12" style="92" customWidth="1"/>
    <col min="8" max="8" width="14.33203125" style="92" customWidth="1"/>
    <col min="9" max="9" width="3" style="92" customWidth="1"/>
    <col min="10" max="10" width="11.88671875" style="92" customWidth="1"/>
    <col min="11" max="11" width="9.6640625" style="92" customWidth="1"/>
    <col min="12" max="12" width="11.44140625" style="92" bestFit="1" customWidth="1"/>
    <col min="13" max="13" width="8.109375" style="92" customWidth="1"/>
    <col min="14" max="14" width="3.6640625" style="92" customWidth="1"/>
    <col min="15" max="16" width="13.88671875" style="92" customWidth="1"/>
    <col min="17" max="17" width="12.109375" style="92" customWidth="1"/>
    <col min="18" max="18" width="10.88671875" style="92" customWidth="1"/>
    <col min="19" max="19" width="15.33203125" style="92" bestFit="1" customWidth="1"/>
    <col min="20" max="20" width="12.44140625" style="92" customWidth="1"/>
    <col min="21" max="21" width="3" style="92" customWidth="1"/>
    <col min="22" max="22" width="15.6640625" style="92" customWidth="1"/>
    <col min="23" max="23" width="0.44140625" style="92" customWidth="1"/>
    <col min="24" max="24" width="21.33203125" style="92" customWidth="1"/>
    <col min="25" max="25" width="9.5546875" style="92" customWidth="1"/>
    <col min="26" max="26" width="4.109375" style="92" customWidth="1"/>
    <col min="27" max="27" width="17.109375" style="92" customWidth="1"/>
    <col min="28" max="28" width="9.109375" style="92"/>
    <col min="29" max="29" width="11.5546875" style="92" customWidth="1"/>
    <col min="30" max="30" width="11.6640625" style="92" customWidth="1"/>
    <col min="31" max="31" width="13.5546875" style="92" customWidth="1"/>
    <col min="32" max="33" width="9.109375" style="92"/>
    <col min="34" max="34" width="14.33203125" style="92" bestFit="1" customWidth="1"/>
    <col min="35" max="35" width="9.5546875" style="92" bestFit="1" customWidth="1"/>
    <col min="36" max="40" width="9.109375" style="92"/>
    <col min="41" max="41" width="11.5546875" style="92" bestFit="1" customWidth="1"/>
    <col min="42" max="42" width="10.5546875" style="92" bestFit="1" customWidth="1"/>
    <col min="43" max="43" width="9.5546875" style="92" bestFit="1" customWidth="1"/>
    <col min="44" max="16384" width="9.109375" style="92"/>
  </cols>
  <sheetData>
    <row r="1" spans="1:31" ht="18.600000000000001" customHeight="1" x14ac:dyDescent="0.35">
      <c r="A1" s="367" t="s">
        <v>196</v>
      </c>
      <c r="B1" s="90" t="s">
        <v>198</v>
      </c>
      <c r="C1" s="91"/>
      <c r="D1" s="91"/>
      <c r="E1" s="91"/>
      <c r="F1" s="90"/>
    </row>
    <row r="2" spans="1:31" ht="18" x14ac:dyDescent="0.35">
      <c r="B2" s="91"/>
      <c r="C2" s="91"/>
      <c r="D2" s="91"/>
      <c r="E2" s="91"/>
      <c r="F2" s="90"/>
    </row>
    <row r="3" spans="1:31" ht="18" x14ac:dyDescent="0.35">
      <c r="B3" s="93" t="s">
        <v>9</v>
      </c>
      <c r="C3" s="91"/>
      <c r="D3" s="91"/>
      <c r="E3" s="199" t="s">
        <v>201</v>
      </c>
      <c r="F3" s="90"/>
      <c r="G3" s="93" t="s">
        <v>15</v>
      </c>
      <c r="H3" s="199" t="s">
        <v>112</v>
      </c>
      <c r="I3" s="200"/>
    </row>
    <row r="4" spans="1:31" ht="18" x14ac:dyDescent="0.35">
      <c r="B4" s="94" t="s">
        <v>10</v>
      </c>
      <c r="C4" s="91"/>
      <c r="D4" s="91"/>
      <c r="E4" s="217" t="s">
        <v>200</v>
      </c>
      <c r="F4" s="90"/>
      <c r="G4" s="93" t="s">
        <v>17</v>
      </c>
      <c r="H4" s="199" t="s">
        <v>199</v>
      </c>
      <c r="I4" s="200"/>
    </row>
    <row r="5" spans="1:31" ht="18" x14ac:dyDescent="0.35">
      <c r="B5" s="93" t="s">
        <v>25</v>
      </c>
      <c r="C5" s="91"/>
      <c r="D5" s="91"/>
      <c r="E5" s="214">
        <v>43101</v>
      </c>
      <c r="F5" s="90"/>
    </row>
    <row r="6" spans="1:31" ht="18" x14ac:dyDescent="0.35">
      <c r="B6" s="91"/>
      <c r="C6" s="91"/>
      <c r="D6" s="91"/>
      <c r="E6" s="91"/>
      <c r="F6" s="90"/>
    </row>
    <row r="7" spans="1:31" x14ac:dyDescent="0.3">
      <c r="F7" s="95"/>
    </row>
    <row r="8" spans="1:31" x14ac:dyDescent="0.3">
      <c r="B8" s="96" t="s">
        <v>4</v>
      </c>
      <c r="C8" s="97"/>
      <c r="D8" s="97"/>
      <c r="E8" s="97"/>
      <c r="F8" s="98"/>
      <c r="G8" s="97"/>
      <c r="H8" s="97"/>
      <c r="I8" s="97"/>
      <c r="J8" s="97"/>
      <c r="K8" s="97"/>
      <c r="L8" s="97"/>
      <c r="M8" s="97"/>
      <c r="N8" s="97"/>
      <c r="O8" s="97"/>
      <c r="P8" s="97"/>
      <c r="Q8" s="97"/>
      <c r="R8" s="97"/>
      <c r="S8" s="97"/>
      <c r="T8" s="97"/>
      <c r="U8" s="97"/>
      <c r="V8" s="97"/>
      <c r="W8" s="97"/>
      <c r="X8" s="97"/>
      <c r="Y8" s="99"/>
    </row>
    <row r="9" spans="1:31" x14ac:dyDescent="0.3">
      <c r="B9" s="100"/>
      <c r="C9" s="101"/>
      <c r="D9" s="101"/>
      <c r="E9" s="101"/>
      <c r="F9" s="102"/>
      <c r="G9" s="101"/>
      <c r="H9" s="101"/>
      <c r="I9" s="101"/>
      <c r="J9" s="101"/>
      <c r="K9" s="101"/>
      <c r="L9" s="101"/>
      <c r="M9" s="101"/>
      <c r="N9" s="101"/>
      <c r="O9" s="101"/>
      <c r="P9" s="101"/>
      <c r="Q9" s="101"/>
      <c r="R9" s="101"/>
      <c r="S9" s="101"/>
      <c r="T9" s="101"/>
      <c r="U9" s="101"/>
      <c r="V9" s="101"/>
      <c r="W9" s="101"/>
      <c r="X9" s="101"/>
      <c r="Y9" s="103"/>
    </row>
    <row r="10" spans="1:31" x14ac:dyDescent="0.3">
      <c r="B10" s="56"/>
      <c r="C10" s="104"/>
      <c r="D10" s="104"/>
      <c r="E10" s="104"/>
      <c r="F10" s="105"/>
      <c r="G10" s="104"/>
      <c r="H10" s="104"/>
      <c r="I10" s="104"/>
      <c r="J10" s="104"/>
      <c r="K10" s="104"/>
      <c r="L10" s="104"/>
      <c r="M10" s="104"/>
      <c r="N10" s="104"/>
      <c r="O10" s="104"/>
      <c r="P10" s="104"/>
      <c r="Q10" s="104"/>
    </row>
    <row r="11" spans="1:31" x14ac:dyDescent="0.3">
      <c r="B11" s="106" t="s">
        <v>158</v>
      </c>
      <c r="C11" s="104"/>
      <c r="D11" s="104"/>
      <c r="E11" s="107"/>
      <c r="F11" s="105"/>
      <c r="G11" s="104"/>
      <c r="H11" s="104"/>
      <c r="I11" s="104"/>
      <c r="J11" s="104"/>
      <c r="K11" s="104"/>
      <c r="L11" s="104"/>
      <c r="M11" s="104"/>
      <c r="N11" s="104"/>
      <c r="O11" s="104"/>
      <c r="P11" s="104"/>
      <c r="Q11" s="104"/>
    </row>
    <row r="12" spans="1:31" x14ac:dyDescent="0.3">
      <c r="B12" s="108" t="s">
        <v>47</v>
      </c>
      <c r="E12" s="201">
        <v>42370</v>
      </c>
      <c r="F12" s="109" t="s">
        <v>20</v>
      </c>
      <c r="G12" s="110">
        <f>EDATE(E12,12)-1</f>
        <v>42735</v>
      </c>
      <c r="H12" s="111"/>
      <c r="I12" s="111"/>
      <c r="K12" s="112"/>
      <c r="L12" s="110"/>
    </row>
    <row r="13" spans="1:31" ht="31.95" customHeight="1" x14ac:dyDescent="0.3">
      <c r="B13" s="108"/>
      <c r="F13" s="219" t="s">
        <v>157</v>
      </c>
      <c r="G13" s="113" t="s">
        <v>58</v>
      </c>
      <c r="H13" s="114" t="s">
        <v>50</v>
      </c>
      <c r="I13" s="111"/>
      <c r="L13" s="111"/>
      <c r="R13" s="111"/>
      <c r="S13" s="111"/>
      <c r="W13" s="115"/>
      <c r="X13" s="115"/>
      <c r="Y13" s="115"/>
      <c r="Z13" s="115"/>
      <c r="AA13" s="115"/>
      <c r="AE13" s="116"/>
    </row>
    <row r="14" spans="1:31" x14ac:dyDescent="0.3">
      <c r="B14" s="108" t="s">
        <v>48</v>
      </c>
      <c r="F14" s="202">
        <v>375730105.00999999</v>
      </c>
      <c r="G14" s="221">
        <f>+F14/$F$18</f>
        <v>312.27490706888199</v>
      </c>
      <c r="H14" s="273">
        <f>+G14/$G$14</f>
        <v>1</v>
      </c>
      <c r="I14" s="117"/>
      <c r="L14" s="111"/>
      <c r="R14" s="111"/>
      <c r="S14" s="111"/>
      <c r="W14" s="115"/>
      <c r="X14" s="115"/>
      <c r="Y14" s="115"/>
      <c r="Z14" s="115"/>
      <c r="AA14" s="115"/>
      <c r="AE14" s="116"/>
    </row>
    <row r="15" spans="1:31" x14ac:dyDescent="0.3">
      <c r="B15" s="108" t="s">
        <v>74</v>
      </c>
      <c r="F15" s="202">
        <v>335891818.72158289</v>
      </c>
      <c r="G15" s="222">
        <f>+F15/$F$18</f>
        <v>279.16471179142911</v>
      </c>
      <c r="H15" s="273">
        <f>+G15/$G$14</f>
        <v>0.8939710027032387</v>
      </c>
      <c r="I15" s="117"/>
      <c r="L15" s="111"/>
      <c r="R15" s="111"/>
      <c r="S15" s="111"/>
      <c r="W15" s="115"/>
      <c r="X15" s="115"/>
      <c r="Y15" s="115"/>
      <c r="Z15" s="115"/>
      <c r="AA15" s="115"/>
      <c r="AE15" s="116"/>
    </row>
    <row r="16" spans="1:31" x14ac:dyDescent="0.3">
      <c r="B16" s="108" t="s">
        <v>75</v>
      </c>
      <c r="F16" s="202">
        <v>431637043.72330147</v>
      </c>
      <c r="G16" s="222">
        <f>+F16/$F$18</f>
        <v>358.73999958718645</v>
      </c>
      <c r="H16" s="273">
        <f>+G16/$G$14</f>
        <v>1.1487954730479037</v>
      </c>
      <c r="I16" s="117"/>
      <c r="L16" s="111"/>
      <c r="R16" s="111"/>
      <c r="S16" s="111"/>
      <c r="W16" s="115"/>
      <c r="X16" s="115"/>
      <c r="Y16" s="115"/>
      <c r="Z16" s="115"/>
      <c r="AA16" s="115"/>
      <c r="AE16" s="116"/>
    </row>
    <row r="17" spans="2:46" x14ac:dyDescent="0.3">
      <c r="B17" s="108" t="s">
        <v>102</v>
      </c>
      <c r="F17" s="118"/>
      <c r="G17" s="223">
        <v>357.38</v>
      </c>
      <c r="I17" s="118"/>
      <c r="J17" s="119"/>
      <c r="K17" s="110"/>
      <c r="L17" s="111"/>
      <c r="Q17" s="120"/>
      <c r="R17" s="111"/>
      <c r="S17" s="111"/>
      <c r="W17" s="115"/>
      <c r="X17" s="115"/>
      <c r="Y17" s="115"/>
      <c r="Z17" s="115"/>
      <c r="AA17" s="115"/>
      <c r="AE17" s="116"/>
    </row>
    <row r="18" spans="2:46" x14ac:dyDescent="0.3">
      <c r="B18" s="108" t="s">
        <v>49</v>
      </c>
      <c r="F18" s="220">
        <v>1203203</v>
      </c>
      <c r="I18" s="121"/>
      <c r="J18" s="119"/>
      <c r="K18" s="110"/>
      <c r="L18" s="111"/>
      <c r="R18" s="111"/>
      <c r="S18" s="111"/>
      <c r="W18" s="115"/>
      <c r="X18" s="115"/>
      <c r="Y18" s="115"/>
      <c r="Z18" s="115"/>
      <c r="AA18" s="115"/>
      <c r="AE18" s="116"/>
    </row>
    <row r="19" spans="2:46" x14ac:dyDescent="0.3">
      <c r="B19" s="108"/>
      <c r="F19" s="111"/>
      <c r="G19" s="121"/>
      <c r="H19" s="119"/>
      <c r="I19" s="119"/>
      <c r="J19" s="110"/>
      <c r="K19" s="119"/>
      <c r="L19" s="111"/>
      <c r="R19" s="111"/>
      <c r="S19" s="111"/>
      <c r="W19" s="115"/>
      <c r="X19" s="115"/>
      <c r="Y19" s="115"/>
      <c r="Z19" s="115"/>
      <c r="AA19" s="115"/>
      <c r="AE19" s="116"/>
    </row>
    <row r="20" spans="2:46" x14ac:dyDescent="0.3">
      <c r="B20" s="122" t="s">
        <v>96</v>
      </c>
      <c r="F20" s="111"/>
      <c r="G20" s="121"/>
      <c r="H20" s="119"/>
      <c r="I20" s="119"/>
      <c r="J20" s="110"/>
      <c r="K20" s="119"/>
      <c r="L20" s="111"/>
      <c r="R20" s="111"/>
      <c r="S20" s="111"/>
      <c r="W20" s="115"/>
      <c r="X20" s="115"/>
      <c r="Y20" s="115"/>
      <c r="Z20" s="115"/>
      <c r="AA20" s="115"/>
      <c r="AE20" s="116"/>
    </row>
    <row r="21" spans="2:46" x14ac:dyDescent="0.3">
      <c r="B21" s="108"/>
      <c r="E21" s="123" t="s">
        <v>79</v>
      </c>
      <c r="F21" s="124"/>
      <c r="G21" s="125"/>
      <c r="H21" s="126"/>
      <c r="I21" s="126"/>
      <c r="J21" s="127"/>
      <c r="K21" s="128" t="s">
        <v>52</v>
      </c>
      <c r="L21" s="129">
        <f>E5</f>
        <v>43101</v>
      </c>
      <c r="M21" s="130" t="s">
        <v>20</v>
      </c>
      <c r="N21" s="130"/>
      <c r="O21" s="129">
        <f>EDATE(L21,12)-1</f>
        <v>43465</v>
      </c>
      <c r="P21" s="127"/>
      <c r="Q21" s="127"/>
      <c r="R21" s="127"/>
      <c r="S21" s="131" t="s">
        <v>53</v>
      </c>
      <c r="T21" s="127">
        <f>ROUND((AVERAGE(L21,O21)-AVERAGE(E12,G12))/(365/12),0)</f>
        <v>24</v>
      </c>
      <c r="U21" s="127" t="s">
        <v>54</v>
      </c>
      <c r="AE21" s="116"/>
    </row>
    <row r="22" spans="2:46" ht="29.25" customHeight="1" x14ac:dyDescent="0.3">
      <c r="B22" s="108"/>
      <c r="E22" s="132" t="s">
        <v>95</v>
      </c>
      <c r="F22" s="133"/>
      <c r="G22" s="134"/>
      <c r="H22" s="135"/>
      <c r="I22" s="136"/>
      <c r="J22" s="137" t="s">
        <v>55</v>
      </c>
      <c r="K22" s="138"/>
      <c r="L22" s="375" t="s">
        <v>78</v>
      </c>
      <c r="M22" s="376"/>
      <c r="N22" s="139"/>
      <c r="O22" s="132" t="s">
        <v>90</v>
      </c>
      <c r="P22" s="140"/>
      <c r="Q22" s="141"/>
      <c r="R22" s="132" t="s">
        <v>57</v>
      </c>
      <c r="S22" s="142"/>
      <c r="T22" s="142"/>
      <c r="V22" s="242"/>
      <c r="Z22" s="115"/>
      <c r="AA22" s="115"/>
      <c r="AC22" s="143"/>
      <c r="AD22" s="144"/>
      <c r="AE22" s="145"/>
    </row>
    <row r="23" spans="2:46" ht="34.5" customHeight="1" x14ac:dyDescent="0.3">
      <c r="B23" s="95"/>
      <c r="C23" s="146" t="s">
        <v>14</v>
      </c>
      <c r="E23" s="147" t="s">
        <v>19</v>
      </c>
      <c r="F23" s="147" t="s">
        <v>5</v>
      </c>
      <c r="G23" s="147" t="s">
        <v>7</v>
      </c>
      <c r="H23" s="148" t="s">
        <v>51</v>
      </c>
      <c r="I23" s="148"/>
      <c r="J23" s="149" t="s">
        <v>56</v>
      </c>
      <c r="K23" s="149" t="s">
        <v>32</v>
      </c>
      <c r="L23" s="149" t="s">
        <v>77</v>
      </c>
      <c r="M23" s="149" t="s">
        <v>76</v>
      </c>
      <c r="N23" s="149"/>
      <c r="O23" s="147" t="s">
        <v>5</v>
      </c>
      <c r="P23" s="147" t="s">
        <v>7</v>
      </c>
      <c r="Q23" s="148" t="s">
        <v>51</v>
      </c>
      <c r="R23" s="147" t="s">
        <v>5</v>
      </c>
      <c r="S23" s="147" t="s">
        <v>7</v>
      </c>
      <c r="T23" s="148" t="s">
        <v>58</v>
      </c>
      <c r="U23" s="148"/>
      <c r="Z23" s="115"/>
      <c r="AA23" s="115"/>
      <c r="AC23" s="150"/>
      <c r="AD23" s="150"/>
      <c r="AE23" s="150"/>
      <c r="AK23" s="149"/>
      <c r="AL23" s="151"/>
    </row>
    <row r="24" spans="2:46" x14ac:dyDescent="0.3">
      <c r="C24" s="95" t="s">
        <v>180</v>
      </c>
      <c r="E24" s="245" t="s">
        <v>160</v>
      </c>
      <c r="F24" s="224">
        <v>173.91725792871239</v>
      </c>
      <c r="G24" s="226">
        <v>5939.7951889714241</v>
      </c>
      <c r="H24" s="229">
        <f t="shared" ref="H24:H29" si="0">F24*G24/12000</f>
        <v>86.086074327005676</v>
      </c>
      <c r="I24" s="152"/>
      <c r="J24" s="204">
        <v>1.0627672324197663</v>
      </c>
      <c r="K24" s="204">
        <v>1.0224359910267198</v>
      </c>
      <c r="L24" s="204">
        <v>1.0431512818055162</v>
      </c>
      <c r="M24" s="204">
        <v>1</v>
      </c>
      <c r="N24" s="153"/>
      <c r="O24" s="227">
        <f t="shared" ref="O24:O29" si="1">F24*(M24)^($T$21/12)*J24</f>
        <v>184.83356287893233</v>
      </c>
      <c r="P24" s="229">
        <f t="shared" ref="P24:P29" si="2">G24*(L24)^($T$21/12)*K24</f>
        <v>6608.4892999133926</v>
      </c>
      <c r="Q24" s="229">
        <f t="shared" ref="Q24:Q29" si="3">O24*P24/12000</f>
        <v>101.78921854585779</v>
      </c>
      <c r="R24" s="263">
        <f>O24</f>
        <v>184.83356287893233</v>
      </c>
      <c r="S24" s="263">
        <f>P24</f>
        <v>6608.4892999133926</v>
      </c>
      <c r="T24" s="233">
        <f t="shared" ref="T24:T29" si="4">R24*S24/12000</f>
        <v>101.78921854585779</v>
      </c>
      <c r="U24" s="154"/>
      <c r="Z24" s="89"/>
      <c r="AA24" s="89"/>
      <c r="AB24" s="111"/>
      <c r="AC24" s="155"/>
      <c r="AD24" s="156"/>
      <c r="AE24" s="157"/>
      <c r="AF24" s="152"/>
      <c r="AG24" s="111"/>
      <c r="AH24" s="158"/>
      <c r="AI24" s="118"/>
      <c r="AJ24" s="158"/>
      <c r="AK24" s="152"/>
      <c r="AL24" s="152"/>
      <c r="AM24" s="152"/>
      <c r="AN24" s="159"/>
      <c r="AO24" s="160"/>
      <c r="AP24" s="118"/>
      <c r="AQ24" s="118"/>
      <c r="AR24" s="118"/>
      <c r="AS24" s="111"/>
      <c r="AT24" s="120"/>
    </row>
    <row r="25" spans="2:46" x14ac:dyDescent="0.3">
      <c r="C25" s="95" t="s">
        <v>38</v>
      </c>
      <c r="E25" s="245" t="s">
        <v>162</v>
      </c>
      <c r="F25" s="225">
        <v>470.73340516284242</v>
      </c>
      <c r="G25" s="247">
        <v>1877.5717010707085</v>
      </c>
      <c r="H25" s="227">
        <f t="shared" si="0"/>
        <v>73.652976690200418</v>
      </c>
      <c r="I25" s="118"/>
      <c r="J25" s="204">
        <v>1.0627672324197663</v>
      </c>
      <c r="K25" s="204">
        <v>1.0224359910267198</v>
      </c>
      <c r="L25" s="204">
        <v>1.0431512818055162</v>
      </c>
      <c r="M25" s="204">
        <v>1</v>
      </c>
      <c r="N25" s="153"/>
      <c r="O25" s="227">
        <f t="shared" si="1"/>
        <v>500.28003821244658</v>
      </c>
      <c r="P25" s="227">
        <f t="shared" si="2"/>
        <v>2088.9461844381549</v>
      </c>
      <c r="Q25" s="227">
        <f t="shared" si="3"/>
        <v>87.088173081205383</v>
      </c>
      <c r="R25" s="263">
        <f t="shared" ref="R25:S29" si="5">O25</f>
        <v>500.28003821244658</v>
      </c>
      <c r="S25" s="263">
        <f t="shared" si="5"/>
        <v>2088.9461844381549</v>
      </c>
      <c r="T25" s="232">
        <f t="shared" si="4"/>
        <v>87.088173081205383</v>
      </c>
      <c r="U25" s="161"/>
      <c r="Z25" s="89"/>
      <c r="AA25" s="89"/>
      <c r="AB25" s="111"/>
      <c r="AC25" s="155"/>
      <c r="AD25" s="156"/>
      <c r="AE25" s="157"/>
      <c r="AF25" s="118"/>
      <c r="AG25" s="111"/>
      <c r="AH25" s="158"/>
      <c r="AI25" s="118"/>
      <c r="AJ25" s="152"/>
      <c r="AK25" s="118"/>
      <c r="AL25" s="118"/>
      <c r="AM25" s="118"/>
      <c r="AN25" s="159"/>
      <c r="AO25" s="160"/>
      <c r="AP25" s="118"/>
      <c r="AQ25" s="118"/>
      <c r="AR25" s="118"/>
      <c r="AS25" s="111"/>
      <c r="AT25" s="120"/>
    </row>
    <row r="26" spans="2:46" x14ac:dyDescent="0.3">
      <c r="C26" s="92" t="s">
        <v>0</v>
      </c>
      <c r="E26" s="245" t="s">
        <v>162</v>
      </c>
      <c r="F26" s="225">
        <v>6425.6924135392674</v>
      </c>
      <c r="G26" s="247">
        <v>275.40819072510357</v>
      </c>
      <c r="H26" s="227">
        <f t="shared" si="0"/>
        <v>147.4740268140728</v>
      </c>
      <c r="I26" s="118"/>
      <c r="J26" s="204">
        <v>1.0627672324197663</v>
      </c>
      <c r="K26" s="204">
        <v>1.0224359910267198</v>
      </c>
      <c r="L26" s="204">
        <v>1.0431512818055162</v>
      </c>
      <c r="M26" s="204">
        <v>1</v>
      </c>
      <c r="N26" s="153"/>
      <c r="O26" s="227">
        <f t="shared" si="1"/>
        <v>6829.0153427178157</v>
      </c>
      <c r="P26" s="227">
        <f t="shared" si="2"/>
        <v>306.41327244660823</v>
      </c>
      <c r="Q26" s="227">
        <f t="shared" si="3"/>
        <v>174.37507822918846</v>
      </c>
      <c r="R26" s="263">
        <f t="shared" si="5"/>
        <v>6829.0153427178157</v>
      </c>
      <c r="S26" s="263">
        <f t="shared" si="5"/>
        <v>306.41327244660823</v>
      </c>
      <c r="T26" s="232">
        <f t="shared" si="4"/>
        <v>174.37507822918846</v>
      </c>
      <c r="U26" s="161"/>
      <c r="Z26" s="89"/>
      <c r="AA26" s="89"/>
      <c r="AB26" s="111"/>
      <c r="AC26" s="155"/>
      <c r="AD26" s="156"/>
      <c r="AE26" s="157"/>
      <c r="AF26" s="118"/>
      <c r="AG26" s="111"/>
      <c r="AH26" s="158"/>
      <c r="AI26" s="118"/>
      <c r="AJ26" s="158"/>
      <c r="AK26" s="118"/>
      <c r="AL26" s="118"/>
      <c r="AM26" s="118"/>
      <c r="AN26" s="159"/>
      <c r="AO26" s="159"/>
      <c r="AP26" s="118"/>
      <c r="AQ26" s="118"/>
      <c r="AR26" s="118"/>
      <c r="AS26" s="111"/>
      <c r="AT26" s="120"/>
    </row>
    <row r="27" spans="2:46" x14ac:dyDescent="0.3">
      <c r="C27" s="95" t="s">
        <v>37</v>
      </c>
      <c r="E27" s="245" t="s">
        <v>162</v>
      </c>
      <c r="F27" s="225">
        <v>230.94129091676251</v>
      </c>
      <c r="G27" s="247">
        <v>450.01223350732988</v>
      </c>
      <c r="H27" s="227">
        <f t="shared" si="0"/>
        <v>8.6605338445431936</v>
      </c>
      <c r="I27" s="118"/>
      <c r="J27" s="204">
        <v>1.0627672324197663</v>
      </c>
      <c r="K27" s="204">
        <v>1.0224359910267198</v>
      </c>
      <c r="L27" s="204">
        <v>1.0431512818055162</v>
      </c>
      <c r="M27" s="204">
        <v>1</v>
      </c>
      <c r="N27" s="153"/>
      <c r="O27" s="227">
        <f t="shared" si="1"/>
        <v>245.43683659905582</v>
      </c>
      <c r="P27" s="227">
        <f t="shared" si="2"/>
        <v>500.67400227621283</v>
      </c>
      <c r="Q27" s="227">
        <f t="shared" si="3"/>
        <v>10.240320273838513</v>
      </c>
      <c r="R27" s="263">
        <f t="shared" si="5"/>
        <v>245.43683659905582</v>
      </c>
      <c r="S27" s="263">
        <f t="shared" si="5"/>
        <v>500.67400227621283</v>
      </c>
      <c r="T27" s="232">
        <f t="shared" si="4"/>
        <v>10.240320273838513</v>
      </c>
      <c r="U27" s="161"/>
      <c r="V27" s="243"/>
      <c r="Z27" s="89"/>
      <c r="AA27" s="89"/>
      <c r="AB27" s="111"/>
      <c r="AC27" s="155"/>
      <c r="AD27" s="156"/>
      <c r="AE27" s="157"/>
      <c r="AF27" s="118"/>
      <c r="AG27" s="111"/>
      <c r="AH27" s="158"/>
      <c r="AI27" s="118"/>
      <c r="AJ27" s="152"/>
      <c r="AK27" s="118"/>
      <c r="AL27" s="118"/>
      <c r="AM27" s="118"/>
      <c r="AN27" s="159"/>
      <c r="AO27" s="160"/>
      <c r="AP27" s="118"/>
      <c r="AQ27" s="118"/>
      <c r="AR27" s="118"/>
      <c r="AS27" s="111"/>
      <c r="AT27" s="120"/>
    </row>
    <row r="28" spans="2:46" x14ac:dyDescent="0.3">
      <c r="C28" s="92" t="s">
        <v>1</v>
      </c>
      <c r="E28" s="245" t="s">
        <v>161</v>
      </c>
      <c r="F28" s="225">
        <v>0</v>
      </c>
      <c r="G28" s="247">
        <v>0</v>
      </c>
      <c r="H28" s="227">
        <f t="shared" si="0"/>
        <v>0</v>
      </c>
      <c r="I28" s="118"/>
      <c r="J28" s="204">
        <v>1.0627672324197663</v>
      </c>
      <c r="K28" s="204">
        <v>1.0224359910267198</v>
      </c>
      <c r="L28" s="204">
        <v>1.0431512818055162</v>
      </c>
      <c r="M28" s="204">
        <v>1</v>
      </c>
      <c r="N28" s="153"/>
      <c r="O28" s="227">
        <f t="shared" si="1"/>
        <v>0</v>
      </c>
      <c r="P28" s="227">
        <f t="shared" si="2"/>
        <v>0</v>
      </c>
      <c r="Q28" s="227">
        <f t="shared" si="3"/>
        <v>0</v>
      </c>
      <c r="R28" s="263">
        <f t="shared" si="5"/>
        <v>0</v>
      </c>
      <c r="S28" s="263">
        <f t="shared" si="5"/>
        <v>0</v>
      </c>
      <c r="T28" s="232">
        <f t="shared" si="4"/>
        <v>0</v>
      </c>
      <c r="U28" s="161"/>
      <c r="Z28" s="89"/>
      <c r="AA28" s="89"/>
      <c r="AB28" s="111"/>
      <c r="AC28" s="155"/>
      <c r="AD28" s="156"/>
      <c r="AE28" s="157"/>
      <c r="AF28" s="118"/>
      <c r="AG28" s="111"/>
      <c r="AH28" s="158"/>
      <c r="AI28" s="118"/>
      <c r="AJ28" s="152"/>
      <c r="AK28" s="118"/>
      <c r="AL28" s="118"/>
      <c r="AM28" s="118"/>
      <c r="AN28" s="159"/>
      <c r="AO28" s="159"/>
      <c r="AP28" s="118"/>
      <c r="AQ28" s="118"/>
      <c r="AR28" s="118"/>
      <c r="AS28" s="111"/>
      <c r="AT28" s="120"/>
    </row>
    <row r="29" spans="2:46" ht="16.2" x14ac:dyDescent="0.45">
      <c r="C29" s="92" t="s">
        <v>41</v>
      </c>
      <c r="E29" s="245" t="s">
        <v>164</v>
      </c>
      <c r="F29" s="225">
        <v>6283.7476302835012</v>
      </c>
      <c r="G29" s="247">
        <v>81.861444030202748</v>
      </c>
      <c r="H29" s="228">
        <f t="shared" si="0"/>
        <v>42.866387911364328</v>
      </c>
      <c r="I29" s="162"/>
      <c r="J29" s="204">
        <v>1.0627672324197663</v>
      </c>
      <c r="K29" s="204">
        <v>1.0224359910267198</v>
      </c>
      <c r="L29" s="204">
        <v>1.0428961853926186</v>
      </c>
      <c r="M29" s="204">
        <v>1.01</v>
      </c>
      <c r="N29" s="153"/>
      <c r="O29" s="227">
        <f t="shared" si="1"/>
        <v>6812.3921159337015</v>
      </c>
      <c r="P29" s="227">
        <f t="shared" si="2"/>
        <v>91.032755341177406</v>
      </c>
      <c r="Q29" s="228">
        <f t="shared" si="3"/>
        <v>51.679235398163215</v>
      </c>
      <c r="R29" s="263">
        <f t="shared" si="5"/>
        <v>6812.3921159337015</v>
      </c>
      <c r="S29" s="263">
        <f t="shared" si="5"/>
        <v>91.032755341177406</v>
      </c>
      <c r="T29" s="228">
        <f t="shared" si="4"/>
        <v>51.679235398163215</v>
      </c>
      <c r="U29" s="162"/>
      <c r="Z29" s="89"/>
      <c r="AA29" s="89"/>
      <c r="AB29" s="111"/>
      <c r="AC29" s="155"/>
      <c r="AD29" s="156"/>
      <c r="AE29" s="157"/>
      <c r="AF29" s="118"/>
      <c r="AG29" s="111"/>
      <c r="AH29" s="158"/>
      <c r="AI29" s="118"/>
      <c r="AJ29" s="152"/>
      <c r="AK29" s="162"/>
      <c r="AL29" s="118"/>
      <c r="AM29" s="162"/>
      <c r="AN29" s="159"/>
      <c r="AO29" s="159"/>
      <c r="AP29" s="118"/>
      <c r="AQ29" s="118"/>
      <c r="AR29" s="118"/>
      <c r="AS29" s="111"/>
      <c r="AT29" s="120"/>
    </row>
    <row r="30" spans="2:46" x14ac:dyDescent="0.3">
      <c r="C30" s="92" t="s">
        <v>3</v>
      </c>
      <c r="F30" s="116"/>
      <c r="H30" s="230">
        <f>SUM(H24:H29)</f>
        <v>358.73999958718639</v>
      </c>
      <c r="I30" s="152"/>
      <c r="L30" s="152"/>
      <c r="O30" s="160"/>
      <c r="P30" s="231"/>
      <c r="Q30" s="229">
        <f>SUM(Q24:Q29)</f>
        <v>425.17202552825336</v>
      </c>
      <c r="R30" s="159"/>
      <c r="S30" s="89"/>
      <c r="T30" s="229">
        <f>SUM(T24:T29)</f>
        <v>425.17202552825336</v>
      </c>
      <c r="Z30" s="115"/>
      <c r="AA30" s="115"/>
      <c r="AB30" s="111"/>
      <c r="AC30" s="104"/>
      <c r="AD30" s="104"/>
      <c r="AE30" s="104"/>
      <c r="AF30" s="118"/>
      <c r="AG30" s="111"/>
      <c r="AH30" s="111"/>
      <c r="AI30" s="121"/>
      <c r="AJ30" s="163"/>
      <c r="AK30" s="152"/>
      <c r="AL30" s="111"/>
      <c r="AM30" s="152"/>
      <c r="AN30" s="118"/>
      <c r="AO30" s="118"/>
      <c r="AP30" s="111"/>
      <c r="AQ30" s="111"/>
      <c r="AR30" s="152"/>
      <c r="AS30" s="111"/>
    </row>
    <row r="31" spans="2:46" ht="16.2" x14ac:dyDescent="0.45">
      <c r="F31" s="116"/>
      <c r="H31" s="161"/>
      <c r="I31" s="161"/>
      <c r="R31" s="160"/>
      <c r="S31" s="160"/>
      <c r="V31" s="244" t="s">
        <v>59</v>
      </c>
      <c r="W31" s="164"/>
      <c r="X31" s="165" t="s">
        <v>80</v>
      </c>
      <c r="AB31" s="111"/>
      <c r="AC31" s="111"/>
      <c r="AD31" s="111"/>
      <c r="AE31" s="89"/>
      <c r="AF31" s="118"/>
      <c r="AG31" s="111"/>
      <c r="AH31" s="158"/>
      <c r="AI31" s="118"/>
      <c r="AJ31" s="158"/>
    </row>
    <row r="32" spans="2:46" x14ac:dyDescent="0.3">
      <c r="B32" s="166" t="s">
        <v>97</v>
      </c>
      <c r="C32" s="166"/>
      <c r="H32" s="92" t="s">
        <v>195</v>
      </c>
      <c r="P32" s="161"/>
      <c r="Q32" s="264">
        <v>1</v>
      </c>
      <c r="T32" s="274">
        <f>1-Q32</f>
        <v>0</v>
      </c>
      <c r="V32" s="229">
        <f>Q30*Q32+(1-Q32)*T30</f>
        <v>425.17202552825336</v>
      </c>
      <c r="X32" s="117">
        <f>+$X$47*V32</f>
        <v>563158630.20926929</v>
      </c>
      <c r="Z32" s="160"/>
      <c r="AA32" s="160"/>
      <c r="AB32" s="111"/>
      <c r="AC32" s="111"/>
      <c r="AD32" s="111"/>
      <c r="AE32" s="89"/>
      <c r="AF32" s="118"/>
      <c r="AG32" s="111"/>
      <c r="AH32" s="158"/>
      <c r="AI32" s="118"/>
      <c r="AJ32" s="158"/>
    </row>
    <row r="33" spans="6:36" ht="16.2" x14ac:dyDescent="0.45">
      <c r="J33" s="92" t="s">
        <v>39</v>
      </c>
      <c r="V33" s="262">
        <v>0.74015297639969013</v>
      </c>
      <c r="W33" s="168"/>
      <c r="AB33" s="111"/>
      <c r="AC33" s="111"/>
      <c r="AD33" s="111"/>
      <c r="AE33" s="89"/>
      <c r="AF33" s="118"/>
      <c r="AG33" s="111"/>
      <c r="AH33" s="158"/>
      <c r="AI33" s="118"/>
      <c r="AJ33" s="158"/>
    </row>
    <row r="34" spans="6:36" x14ac:dyDescent="0.3">
      <c r="J34" s="92" t="s">
        <v>61</v>
      </c>
      <c r="P34" s="161"/>
      <c r="S34" s="169"/>
      <c r="V34" s="229">
        <f>+V32*V33</f>
        <v>314.69234017662177</v>
      </c>
      <c r="W34" s="160"/>
      <c r="X34" s="117">
        <f>+$X$47*V34</f>
        <v>416823536.33456314</v>
      </c>
      <c r="AB34" s="111"/>
      <c r="AC34" s="111"/>
      <c r="AD34" s="111"/>
      <c r="AE34" s="89"/>
      <c r="AF34" s="118"/>
      <c r="AG34" s="111"/>
      <c r="AH34" s="158"/>
      <c r="AI34" s="118"/>
      <c r="AJ34" s="158"/>
    </row>
    <row r="35" spans="6:36" ht="16.2" x14ac:dyDescent="0.45">
      <c r="J35" s="92" t="s">
        <v>98</v>
      </c>
      <c r="P35" s="161"/>
      <c r="V35" s="364">
        <v>-56.808832720077831</v>
      </c>
      <c r="W35" s="160"/>
      <c r="X35" s="234">
        <f>+$X$47*V35</f>
        <v>-75245741.717550054</v>
      </c>
      <c r="AB35" s="111"/>
      <c r="AC35" s="111"/>
      <c r="AD35" s="111"/>
      <c r="AE35" s="89"/>
      <c r="AF35" s="118"/>
      <c r="AG35" s="111"/>
      <c r="AH35" s="158"/>
      <c r="AI35" s="118"/>
      <c r="AJ35" s="158"/>
    </row>
    <row r="36" spans="6:36" x14ac:dyDescent="0.3">
      <c r="J36" s="92" t="s">
        <v>73</v>
      </c>
      <c r="P36" s="161"/>
      <c r="V36" s="238">
        <f>+V34-V35</f>
        <v>371.50117289669959</v>
      </c>
      <c r="W36" s="160"/>
      <c r="X36" s="117">
        <f>+$X$47*V36</f>
        <v>492069278.05211318</v>
      </c>
      <c r="AB36" s="111"/>
      <c r="AC36" s="111"/>
      <c r="AD36" s="111"/>
      <c r="AE36" s="89"/>
      <c r="AF36" s="118"/>
      <c r="AG36" s="111"/>
      <c r="AH36" s="158"/>
      <c r="AI36" s="118"/>
      <c r="AJ36" s="158"/>
    </row>
    <row r="37" spans="6:36" ht="16.2" x14ac:dyDescent="0.45">
      <c r="J37" s="92" t="s">
        <v>60</v>
      </c>
      <c r="P37" s="161"/>
      <c r="V37" s="365">
        <v>0</v>
      </c>
      <c r="W37" s="160"/>
      <c r="X37" s="363">
        <f>+$X$47*V37</f>
        <v>0</v>
      </c>
      <c r="AB37" s="111"/>
      <c r="AC37" s="111"/>
      <c r="AD37" s="111"/>
      <c r="AE37" s="89"/>
      <c r="AF37" s="118"/>
      <c r="AG37" s="111"/>
      <c r="AH37" s="158"/>
      <c r="AI37" s="118"/>
      <c r="AJ37" s="158"/>
    </row>
    <row r="38" spans="6:36" x14ac:dyDescent="0.3">
      <c r="H38" s="92" t="s">
        <v>62</v>
      </c>
      <c r="V38" s="237">
        <f>+V34-V35-V37</f>
        <v>371.50117289669959</v>
      </c>
      <c r="W38" s="160"/>
      <c r="X38" s="117">
        <f>+$X$47*V38</f>
        <v>492069278.05211318</v>
      </c>
      <c r="AB38" s="111"/>
      <c r="AC38" s="111"/>
      <c r="AD38" s="111"/>
      <c r="AE38" s="89"/>
      <c r="AF38" s="118"/>
      <c r="AG38" s="111"/>
      <c r="AH38" s="158"/>
      <c r="AI38" s="118"/>
      <c r="AJ38" s="158"/>
    </row>
    <row r="39" spans="6:36" ht="6.75" customHeight="1" x14ac:dyDescent="0.3">
      <c r="W39" s="160"/>
      <c r="X39" s="167"/>
      <c r="AB39" s="111"/>
      <c r="AC39" s="111"/>
      <c r="AD39" s="111"/>
      <c r="AE39" s="89"/>
      <c r="AF39" s="118"/>
      <c r="AG39" s="111"/>
      <c r="AH39" s="158"/>
      <c r="AI39" s="118"/>
      <c r="AJ39" s="158"/>
    </row>
    <row r="40" spans="6:36" x14ac:dyDescent="0.3">
      <c r="H40" s="92" t="s">
        <v>22</v>
      </c>
      <c r="T40" s="264">
        <v>9.9287871091264537E-2</v>
      </c>
      <c r="V40" s="239">
        <f>+T40*$V$43</f>
        <v>45.997295407052597</v>
      </c>
      <c r="W40" s="160"/>
      <c r="X40" s="235">
        <f>+$X$47*V40</f>
        <v>60925395.650343671</v>
      </c>
      <c r="AB40" s="111"/>
      <c r="AC40" s="111"/>
      <c r="AD40" s="111"/>
      <c r="AE40" s="89"/>
      <c r="AF40" s="118"/>
      <c r="AG40" s="111"/>
      <c r="AH40" s="158"/>
      <c r="AI40" s="118"/>
      <c r="AJ40" s="158"/>
    </row>
    <row r="41" spans="6:36" x14ac:dyDescent="0.3">
      <c r="H41" s="92" t="s">
        <v>23</v>
      </c>
      <c r="T41" s="264">
        <v>4.8000000000000001E-2</v>
      </c>
      <c r="V41" s="240">
        <f>+T41*$V$43</f>
        <v>22.237058316106605</v>
      </c>
      <c r="W41" s="160"/>
      <c r="X41" s="236">
        <f>+$X$47*V41</f>
        <v>29453939.933190793</v>
      </c>
      <c r="AB41" s="111"/>
      <c r="AC41" s="111"/>
      <c r="AD41" s="111"/>
      <c r="AE41" s="89"/>
      <c r="AF41" s="118"/>
      <c r="AG41" s="111"/>
      <c r="AH41" s="158"/>
      <c r="AI41" s="118"/>
      <c r="AJ41" s="158"/>
    </row>
    <row r="42" spans="6:36" ht="16.2" x14ac:dyDescent="0.45">
      <c r="H42" s="92" t="s">
        <v>103</v>
      </c>
      <c r="T42" s="264">
        <v>5.080496809845958E-2</v>
      </c>
      <c r="V42" s="241">
        <f>+T42*$V$43</f>
        <v>23.536521632362113</v>
      </c>
      <c r="W42" s="160"/>
      <c r="X42" s="234">
        <f>+$X$47*V42</f>
        <v>31175134.972493812</v>
      </c>
      <c r="AB42" s="111"/>
      <c r="AC42" s="111"/>
      <c r="AD42" s="111"/>
      <c r="AE42" s="89"/>
      <c r="AF42" s="118"/>
      <c r="AG42" s="111"/>
      <c r="AH42" s="158"/>
      <c r="AI42" s="118"/>
      <c r="AJ42" s="158"/>
    </row>
    <row r="43" spans="6:36" x14ac:dyDescent="0.3">
      <c r="H43" s="92" t="s">
        <v>63</v>
      </c>
      <c r="P43" s="161"/>
      <c r="V43" s="233">
        <f>($V$38/(1-T40-T41-T42))</f>
        <v>463.27204825222094</v>
      </c>
      <c r="W43" s="160"/>
      <c r="X43" s="117">
        <f>+$X$47*V43</f>
        <v>613623748.60814142</v>
      </c>
      <c r="AB43" s="111"/>
      <c r="AC43" s="111"/>
      <c r="AD43" s="111"/>
      <c r="AE43" s="89"/>
      <c r="AF43" s="118"/>
      <c r="AG43" s="111"/>
      <c r="AH43" s="158"/>
      <c r="AI43" s="118"/>
      <c r="AJ43" s="158"/>
    </row>
    <row r="44" spans="6:36" x14ac:dyDescent="0.3">
      <c r="H44" s="92" t="s">
        <v>104</v>
      </c>
      <c r="P44" s="161"/>
      <c r="V44" s="226">
        <v>425.16778034252303</v>
      </c>
      <c r="W44" s="160"/>
      <c r="X44" s="167"/>
      <c r="AA44" s="170"/>
      <c r="AB44" s="111"/>
      <c r="AC44" s="111"/>
      <c r="AD44" s="111"/>
      <c r="AE44" s="89"/>
      <c r="AF44" s="118"/>
      <c r="AG44" s="111"/>
      <c r="AH44" s="158"/>
      <c r="AI44" s="118"/>
      <c r="AJ44" s="158"/>
    </row>
    <row r="45" spans="6:36" x14ac:dyDescent="0.3">
      <c r="J45" s="92" t="s">
        <v>64</v>
      </c>
      <c r="P45" s="161"/>
      <c r="V45" s="272">
        <f>((V43-G14)/G14)</f>
        <v>0.48353914376486168</v>
      </c>
      <c r="W45" s="160"/>
      <c r="X45" s="160"/>
      <c r="AB45" s="111"/>
      <c r="AC45" s="111"/>
      <c r="AD45" s="111"/>
      <c r="AE45" s="89"/>
      <c r="AF45" s="118"/>
      <c r="AG45" s="111"/>
      <c r="AH45" s="158"/>
      <c r="AI45" s="118"/>
      <c r="AJ45" s="158"/>
    </row>
    <row r="46" spans="6:36" x14ac:dyDescent="0.3">
      <c r="J46" s="92" t="s">
        <v>65</v>
      </c>
      <c r="P46" s="161"/>
      <c r="V46" s="272">
        <f>(1+V45)^(1/(T21/12))-1</f>
        <v>0.21800621663637743</v>
      </c>
      <c r="W46" s="160"/>
      <c r="X46" s="160"/>
      <c r="AB46" s="111"/>
      <c r="AC46" s="111"/>
      <c r="AD46" s="111"/>
      <c r="AE46" s="89"/>
      <c r="AF46" s="118"/>
      <c r="AG46" s="111"/>
      <c r="AH46" s="158"/>
      <c r="AI46" s="118"/>
      <c r="AJ46" s="158"/>
    </row>
    <row r="47" spans="6:36" x14ac:dyDescent="0.3">
      <c r="H47" s="171" t="s">
        <v>6</v>
      </c>
      <c r="I47" s="171"/>
      <c r="V47" s="161"/>
      <c r="W47" s="160"/>
      <c r="X47" s="203">
        <v>1324543</v>
      </c>
      <c r="AB47" s="111"/>
      <c r="AC47" s="111"/>
      <c r="AD47" s="111"/>
      <c r="AE47" s="89"/>
      <c r="AF47" s="118"/>
      <c r="AG47" s="111"/>
      <c r="AH47" s="158"/>
      <c r="AI47" s="118"/>
      <c r="AJ47" s="158"/>
    </row>
    <row r="48" spans="6:36" x14ac:dyDescent="0.3">
      <c r="F48" s="116"/>
      <c r="H48" s="161"/>
      <c r="I48" s="161"/>
      <c r="Q48" s="161"/>
      <c r="R48" s="160"/>
      <c r="S48" s="160"/>
      <c r="AB48" s="111"/>
      <c r="AC48" s="111"/>
      <c r="AD48" s="111"/>
      <c r="AE48" s="89"/>
      <c r="AF48" s="118"/>
      <c r="AG48" s="111"/>
      <c r="AH48" s="158"/>
      <c r="AI48" s="118"/>
      <c r="AJ48" s="158"/>
    </row>
    <row r="49" spans="2:22" ht="48.75" customHeight="1" x14ac:dyDescent="0.3">
      <c r="B49" s="374" t="s">
        <v>21</v>
      </c>
      <c r="C49" s="374"/>
      <c r="D49" s="374"/>
      <c r="E49" s="374"/>
      <c r="F49" s="374"/>
      <c r="G49" s="374"/>
      <c r="H49" s="374"/>
      <c r="I49" s="374"/>
      <c r="J49" s="374"/>
      <c r="K49" s="374"/>
      <c r="L49" s="374"/>
      <c r="M49" s="374"/>
      <c r="N49" s="374"/>
      <c r="O49" s="374"/>
      <c r="P49" s="374"/>
      <c r="Q49" s="374"/>
      <c r="R49" s="95"/>
      <c r="S49" s="95"/>
    </row>
    <row r="50" spans="2:22" x14ac:dyDescent="0.3">
      <c r="F50" s="172"/>
      <c r="G50" s="89"/>
      <c r="H50" s="89"/>
      <c r="I50" s="89"/>
      <c r="J50" s="95"/>
      <c r="M50" s="105"/>
      <c r="N50" s="105"/>
      <c r="O50" s="104"/>
      <c r="P50" s="104"/>
      <c r="Q50" s="104"/>
      <c r="R50" s="95"/>
      <c r="S50" s="95"/>
    </row>
    <row r="51" spans="2:22" x14ac:dyDescent="0.3">
      <c r="J51" s="95"/>
      <c r="M51" s="105"/>
      <c r="N51" s="105"/>
      <c r="O51" s="104"/>
      <c r="P51" s="104"/>
      <c r="Q51" s="104"/>
      <c r="R51" s="95"/>
      <c r="S51" s="95"/>
    </row>
    <row r="52" spans="2:22" x14ac:dyDescent="0.3">
      <c r="J52" s="95"/>
      <c r="M52" s="105"/>
      <c r="N52" s="105"/>
      <c r="O52" s="104"/>
      <c r="P52" s="104"/>
      <c r="Q52" s="104"/>
      <c r="R52" s="95"/>
      <c r="S52" s="95"/>
    </row>
    <row r="53" spans="2:22" x14ac:dyDescent="0.3">
      <c r="B53" s="95"/>
      <c r="G53" s="154"/>
      <c r="H53" s="95"/>
      <c r="I53" s="95"/>
      <c r="J53" s="95"/>
      <c r="M53" s="105"/>
      <c r="N53" s="105"/>
      <c r="O53" s="104"/>
      <c r="P53" s="104"/>
      <c r="Q53" s="104"/>
      <c r="R53" s="95"/>
      <c r="S53" s="95"/>
    </row>
    <row r="54" spans="2:22" x14ac:dyDescent="0.3">
      <c r="B54" s="95"/>
      <c r="G54" s="154"/>
      <c r="H54" s="95"/>
      <c r="I54" s="95"/>
      <c r="J54" s="95"/>
      <c r="M54" s="105"/>
      <c r="N54" s="105"/>
      <c r="O54" s="104"/>
      <c r="P54" s="104"/>
      <c r="Q54" s="104"/>
      <c r="R54" s="95"/>
      <c r="S54" s="95"/>
    </row>
    <row r="55" spans="2:22" x14ac:dyDescent="0.3">
      <c r="B55" s="173"/>
      <c r="C55" s="111"/>
      <c r="D55" s="111"/>
      <c r="E55" s="111"/>
      <c r="F55" s="111"/>
      <c r="G55" s="174"/>
      <c r="H55" s="119"/>
      <c r="I55" s="119"/>
      <c r="J55" s="119"/>
      <c r="K55" s="111"/>
      <c r="L55" s="111"/>
      <c r="M55" s="175"/>
      <c r="N55" s="175"/>
      <c r="O55" s="111"/>
      <c r="P55" s="111"/>
    </row>
    <row r="56" spans="2:22" x14ac:dyDescent="0.3">
      <c r="B56" s="111"/>
      <c r="C56" s="111"/>
      <c r="D56" s="111"/>
      <c r="E56" s="111"/>
      <c r="F56" s="111"/>
      <c r="G56" s="174"/>
      <c r="H56" s="119"/>
      <c r="I56" s="119"/>
      <c r="J56" s="119"/>
      <c r="K56" s="111"/>
      <c r="L56" s="111"/>
      <c r="M56" s="175"/>
      <c r="N56" s="175"/>
      <c r="O56" s="111"/>
      <c r="P56" s="111"/>
    </row>
    <row r="57" spans="2:22" x14ac:dyDescent="0.3">
      <c r="B57" s="176"/>
      <c r="C57" s="111"/>
      <c r="D57" s="111"/>
      <c r="E57" s="111"/>
      <c r="F57" s="111"/>
      <c r="G57" s="169"/>
      <c r="H57" s="119"/>
      <c r="I57" s="119"/>
      <c r="J57" s="111"/>
      <c r="K57" s="111"/>
      <c r="L57" s="111"/>
      <c r="M57" s="175"/>
      <c r="N57" s="175"/>
      <c r="O57" s="111"/>
      <c r="P57" s="111"/>
    </row>
    <row r="58" spans="2:22" x14ac:dyDescent="0.3">
      <c r="B58" s="111"/>
      <c r="C58" s="111"/>
      <c r="D58" s="111"/>
      <c r="E58" s="111"/>
      <c r="F58" s="111"/>
      <c r="G58" s="152"/>
      <c r="H58" s="119"/>
      <c r="I58" s="119"/>
      <c r="J58" s="111"/>
      <c r="K58" s="111"/>
      <c r="L58" s="111"/>
      <c r="M58" s="175"/>
      <c r="N58" s="175"/>
      <c r="O58" s="111"/>
      <c r="P58" s="111"/>
    </row>
    <row r="59" spans="2:22" x14ac:dyDescent="0.3">
      <c r="B59" s="119"/>
      <c r="C59" s="111"/>
      <c r="D59" s="111"/>
      <c r="E59" s="111"/>
      <c r="F59" s="111"/>
      <c r="G59" s="152"/>
      <c r="H59" s="119"/>
      <c r="I59" s="119"/>
      <c r="J59" s="111"/>
      <c r="K59" s="111"/>
      <c r="L59" s="111"/>
      <c r="M59" s="175"/>
      <c r="N59" s="175"/>
      <c r="O59" s="111"/>
      <c r="P59" s="111"/>
    </row>
    <row r="60" spans="2:22" x14ac:dyDescent="0.3">
      <c r="B60" s="115"/>
      <c r="C60" s="115"/>
      <c r="D60" s="115"/>
      <c r="E60" s="115"/>
      <c r="F60" s="177"/>
      <c r="G60" s="115"/>
      <c r="H60" s="115"/>
      <c r="I60" s="115"/>
      <c r="J60" s="115"/>
      <c r="K60" s="115"/>
      <c r="L60" s="115"/>
      <c r="M60" s="115"/>
      <c r="N60" s="115"/>
      <c r="O60" s="115"/>
      <c r="P60" s="115"/>
      <c r="Q60" s="115"/>
      <c r="R60" s="115"/>
      <c r="S60" s="115"/>
      <c r="T60" s="115"/>
      <c r="U60" s="115"/>
      <c r="V60" s="115"/>
    </row>
    <row r="61" spans="2:22" x14ac:dyDescent="0.3">
      <c r="B61" s="178"/>
      <c r="C61" s="115"/>
      <c r="D61" s="115"/>
      <c r="E61" s="115"/>
      <c r="F61" s="177"/>
      <c r="G61" s="115"/>
      <c r="H61" s="115"/>
      <c r="I61" s="115"/>
      <c r="J61" s="115"/>
      <c r="K61" s="115"/>
      <c r="L61" s="115"/>
      <c r="M61" s="115"/>
      <c r="N61" s="115"/>
      <c r="O61" s="115"/>
      <c r="P61" s="115"/>
      <c r="Q61" s="115"/>
      <c r="R61" s="115"/>
      <c r="S61" s="115"/>
      <c r="T61" s="115"/>
      <c r="U61" s="115"/>
      <c r="V61" s="115"/>
    </row>
    <row r="62" spans="2:22" x14ac:dyDescent="0.3">
      <c r="B62" s="115"/>
      <c r="C62" s="115"/>
      <c r="D62" s="115"/>
      <c r="E62" s="115"/>
      <c r="F62" s="177"/>
      <c r="G62" s="115"/>
      <c r="H62" s="115"/>
      <c r="I62" s="115"/>
      <c r="J62" s="115"/>
      <c r="K62" s="115"/>
      <c r="L62" s="115"/>
      <c r="M62" s="115"/>
      <c r="N62" s="115"/>
      <c r="O62" s="115"/>
      <c r="P62" s="115"/>
      <c r="Q62" s="115"/>
      <c r="R62" s="115"/>
      <c r="S62" s="115"/>
      <c r="T62" s="115"/>
      <c r="U62" s="115"/>
      <c r="V62" s="115"/>
    </row>
    <row r="63" spans="2:22" x14ac:dyDescent="0.3">
      <c r="B63" s="115"/>
      <c r="C63" s="115"/>
      <c r="D63" s="115"/>
      <c r="E63" s="115"/>
      <c r="F63" s="177"/>
      <c r="G63" s="115"/>
      <c r="H63" s="115"/>
      <c r="I63" s="115"/>
      <c r="J63" s="115"/>
      <c r="K63" s="115"/>
      <c r="L63" s="115"/>
      <c r="M63" s="115"/>
      <c r="N63" s="115"/>
      <c r="O63" s="115"/>
      <c r="P63" s="115"/>
      <c r="Q63" s="115"/>
      <c r="R63" s="115"/>
      <c r="S63" s="115"/>
      <c r="T63" s="115"/>
      <c r="U63" s="115"/>
      <c r="V63" s="115"/>
    </row>
    <row r="64" spans="2:22" x14ac:dyDescent="0.3">
      <c r="B64" s="115"/>
      <c r="C64" s="115"/>
      <c r="D64" s="115"/>
      <c r="E64" s="115"/>
      <c r="F64" s="179"/>
      <c r="G64" s="179"/>
      <c r="H64" s="179"/>
      <c r="I64" s="179"/>
      <c r="J64" s="179"/>
      <c r="K64" s="179"/>
      <c r="L64" s="179"/>
      <c r="M64" s="179"/>
      <c r="N64" s="179"/>
      <c r="O64" s="179"/>
      <c r="P64" s="179"/>
      <c r="Q64" s="179"/>
      <c r="R64" s="115"/>
      <c r="S64" s="115"/>
      <c r="T64" s="115"/>
      <c r="U64" s="115"/>
      <c r="V64" s="115"/>
    </row>
    <row r="65" spans="1:22" x14ac:dyDescent="0.3">
      <c r="A65" s="108"/>
      <c r="B65" s="115"/>
      <c r="C65" s="115"/>
      <c r="D65" s="115"/>
      <c r="E65" s="115"/>
      <c r="F65" s="180"/>
      <c r="G65" s="180"/>
      <c r="H65" s="180"/>
      <c r="I65" s="180"/>
      <c r="J65" s="180"/>
      <c r="K65" s="180"/>
      <c r="L65" s="180"/>
      <c r="M65" s="180"/>
      <c r="N65" s="180"/>
      <c r="O65" s="180"/>
      <c r="P65" s="180"/>
      <c r="Q65" s="180"/>
      <c r="R65" s="115"/>
      <c r="S65" s="115"/>
      <c r="T65" s="115"/>
      <c r="U65" s="115"/>
      <c r="V65" s="115"/>
    </row>
    <row r="66" spans="1:22" x14ac:dyDescent="0.3">
      <c r="A66" s="108"/>
      <c r="B66" s="115"/>
      <c r="C66" s="115"/>
      <c r="D66" s="115"/>
      <c r="E66" s="115"/>
      <c r="F66" s="180"/>
      <c r="G66" s="180"/>
      <c r="H66" s="180"/>
      <c r="I66" s="180"/>
      <c r="J66" s="180"/>
      <c r="K66" s="180"/>
      <c r="L66" s="180"/>
      <c r="M66" s="180"/>
      <c r="N66" s="180"/>
      <c r="O66" s="180"/>
      <c r="P66" s="180"/>
      <c r="Q66" s="180"/>
      <c r="R66" s="115"/>
      <c r="S66" s="115"/>
      <c r="T66" s="115"/>
      <c r="U66" s="115"/>
      <c r="V66" s="115"/>
    </row>
    <row r="67" spans="1:22" x14ac:dyDescent="0.3">
      <c r="A67" s="108"/>
      <c r="B67" s="115"/>
      <c r="C67" s="115"/>
      <c r="D67" s="115"/>
      <c r="E67" s="115"/>
      <c r="F67" s="180"/>
      <c r="G67" s="180"/>
      <c r="H67" s="180"/>
      <c r="I67" s="180"/>
      <c r="J67" s="180"/>
      <c r="K67" s="180"/>
      <c r="L67" s="180"/>
      <c r="M67" s="180"/>
      <c r="N67" s="180"/>
      <c r="O67" s="180"/>
      <c r="P67" s="180"/>
      <c r="Q67" s="180"/>
      <c r="R67" s="115"/>
      <c r="S67" s="115"/>
      <c r="T67" s="115"/>
      <c r="U67" s="115"/>
      <c r="V67" s="115"/>
    </row>
    <row r="68" spans="1:22" x14ac:dyDescent="0.3">
      <c r="A68" s="108"/>
      <c r="B68" s="115"/>
      <c r="C68" s="115"/>
      <c r="D68" s="115"/>
      <c r="E68" s="115"/>
      <c r="F68" s="181"/>
      <c r="G68" s="181"/>
      <c r="H68" s="181"/>
      <c r="I68" s="181"/>
      <c r="J68" s="181"/>
      <c r="K68" s="181"/>
      <c r="L68" s="181"/>
      <c r="M68" s="181"/>
      <c r="N68" s="181"/>
      <c r="O68" s="181"/>
      <c r="P68" s="181"/>
      <c r="Q68" s="181"/>
      <c r="R68" s="115"/>
      <c r="S68" s="115"/>
      <c r="T68" s="115"/>
      <c r="U68" s="115"/>
      <c r="V68" s="115"/>
    </row>
    <row r="69" spans="1:22" x14ac:dyDescent="0.3">
      <c r="A69" s="108"/>
      <c r="B69" s="182"/>
      <c r="C69" s="115"/>
      <c r="D69" s="115"/>
      <c r="E69" s="115"/>
      <c r="F69" s="115"/>
      <c r="G69" s="115"/>
      <c r="H69" s="115"/>
      <c r="I69" s="115"/>
      <c r="J69" s="115"/>
      <c r="K69" s="115"/>
      <c r="L69" s="115"/>
      <c r="M69" s="115"/>
      <c r="N69" s="115"/>
      <c r="O69" s="115"/>
      <c r="P69" s="115"/>
      <c r="Q69" s="115"/>
      <c r="R69" s="115"/>
      <c r="S69" s="115"/>
      <c r="T69" s="115"/>
      <c r="U69" s="115"/>
      <c r="V69" s="115"/>
    </row>
    <row r="70" spans="1:22" x14ac:dyDescent="0.3">
      <c r="A70" s="108"/>
      <c r="B70" s="182"/>
      <c r="C70" s="115"/>
      <c r="D70" s="115"/>
      <c r="E70" s="115"/>
      <c r="F70" s="115"/>
      <c r="G70" s="115"/>
      <c r="H70" s="115"/>
      <c r="I70" s="115"/>
      <c r="J70" s="115"/>
      <c r="K70" s="115"/>
      <c r="L70" s="115"/>
      <c r="M70" s="115"/>
      <c r="N70" s="115"/>
      <c r="O70" s="115"/>
      <c r="P70" s="115"/>
      <c r="Q70" s="115"/>
      <c r="R70" s="115"/>
      <c r="S70" s="115"/>
      <c r="T70" s="115"/>
      <c r="U70" s="115"/>
      <c r="V70" s="115"/>
    </row>
    <row r="71" spans="1:22" x14ac:dyDescent="0.3">
      <c r="A71" s="108"/>
      <c r="B71" s="182"/>
      <c r="C71" s="177"/>
      <c r="D71" s="115"/>
      <c r="E71" s="115"/>
      <c r="F71" s="183"/>
      <c r="G71" s="89"/>
      <c r="H71" s="89"/>
      <c r="I71" s="89"/>
      <c r="J71" s="89"/>
      <c r="K71" s="89"/>
      <c r="L71" s="89"/>
      <c r="M71" s="89"/>
      <c r="N71" s="89"/>
      <c r="O71" s="89"/>
      <c r="P71" s="89"/>
      <c r="Q71" s="89"/>
      <c r="R71" s="115"/>
      <c r="S71" s="115"/>
      <c r="T71" s="115"/>
      <c r="U71" s="115"/>
      <c r="V71" s="115"/>
    </row>
    <row r="72" spans="1:22" x14ac:dyDescent="0.3">
      <c r="A72" s="108"/>
      <c r="B72" s="182"/>
      <c r="C72" s="115"/>
      <c r="D72" s="115"/>
      <c r="E72" s="115"/>
      <c r="F72" s="115"/>
      <c r="G72" s="115"/>
      <c r="H72" s="115"/>
      <c r="I72" s="115"/>
      <c r="J72" s="115"/>
      <c r="K72" s="115"/>
      <c r="L72" s="115"/>
      <c r="M72" s="115"/>
      <c r="N72" s="115"/>
      <c r="O72" s="115"/>
      <c r="P72" s="115"/>
      <c r="Q72" s="115"/>
      <c r="R72" s="115"/>
      <c r="S72" s="115"/>
      <c r="T72" s="115"/>
      <c r="U72" s="115"/>
      <c r="V72" s="115"/>
    </row>
    <row r="73" spans="1:22" x14ac:dyDescent="0.3">
      <c r="A73" s="108"/>
      <c r="B73" s="182"/>
      <c r="C73" s="177"/>
      <c r="D73" s="115"/>
      <c r="E73" s="115"/>
      <c r="F73" s="184"/>
      <c r="G73" s="184"/>
      <c r="H73" s="184"/>
      <c r="I73" s="184"/>
      <c r="J73" s="184"/>
      <c r="K73" s="184"/>
      <c r="L73" s="184"/>
      <c r="M73" s="184"/>
      <c r="N73" s="184"/>
      <c r="O73" s="184"/>
      <c r="P73" s="184"/>
      <c r="Q73" s="184"/>
      <c r="R73" s="115"/>
      <c r="S73" s="115"/>
      <c r="T73" s="115"/>
      <c r="U73" s="115"/>
      <c r="V73" s="115"/>
    </row>
    <row r="74" spans="1:22" x14ac:dyDescent="0.3">
      <c r="A74" s="108"/>
      <c r="B74" s="182"/>
      <c r="C74" s="177"/>
      <c r="D74" s="115"/>
      <c r="E74" s="115"/>
      <c r="F74" s="184"/>
      <c r="G74" s="184"/>
      <c r="H74" s="184"/>
      <c r="I74" s="184"/>
      <c r="J74" s="184"/>
      <c r="K74" s="184"/>
      <c r="L74" s="184"/>
      <c r="M74" s="184"/>
      <c r="N74" s="184"/>
      <c r="O74" s="184"/>
      <c r="P74" s="184"/>
      <c r="Q74" s="184"/>
      <c r="R74" s="115"/>
      <c r="S74" s="115"/>
      <c r="T74" s="115"/>
      <c r="U74" s="115"/>
      <c r="V74" s="115"/>
    </row>
    <row r="75" spans="1:22" x14ac:dyDescent="0.3">
      <c r="A75" s="108"/>
      <c r="B75" s="182"/>
      <c r="C75" s="115"/>
      <c r="D75" s="115"/>
      <c r="E75" s="115"/>
      <c r="F75" s="89"/>
      <c r="G75" s="89"/>
      <c r="H75" s="89"/>
      <c r="I75" s="89"/>
      <c r="J75" s="89"/>
      <c r="K75" s="89"/>
      <c r="L75" s="89"/>
      <c r="M75" s="89"/>
      <c r="N75" s="89"/>
      <c r="O75" s="89"/>
      <c r="P75" s="89"/>
      <c r="Q75" s="89"/>
      <c r="R75" s="115"/>
      <c r="S75" s="115"/>
      <c r="T75" s="115"/>
      <c r="U75" s="115"/>
      <c r="V75" s="115"/>
    </row>
    <row r="76" spans="1:22" x14ac:dyDescent="0.3">
      <c r="A76" s="108"/>
      <c r="B76" s="182"/>
      <c r="C76" s="115"/>
      <c r="D76" s="115"/>
      <c r="E76" s="115"/>
      <c r="F76" s="89"/>
      <c r="G76" s="89"/>
      <c r="H76" s="89"/>
      <c r="I76" s="89"/>
      <c r="J76" s="89"/>
      <c r="K76" s="89"/>
      <c r="L76" s="89"/>
      <c r="M76" s="89"/>
      <c r="N76" s="89"/>
      <c r="O76" s="89"/>
      <c r="P76" s="89"/>
      <c r="Q76" s="89"/>
      <c r="R76" s="115"/>
      <c r="S76" s="115"/>
      <c r="T76" s="115"/>
      <c r="U76" s="115"/>
      <c r="V76" s="115"/>
    </row>
    <row r="77" spans="1:22" x14ac:dyDescent="0.3">
      <c r="A77" s="108"/>
      <c r="B77" s="182"/>
      <c r="C77" s="115"/>
      <c r="D77" s="115"/>
      <c r="E77" s="115"/>
      <c r="F77" s="115"/>
      <c r="G77" s="115"/>
      <c r="H77" s="115"/>
      <c r="I77" s="115"/>
      <c r="J77" s="115"/>
      <c r="K77" s="115"/>
      <c r="L77" s="115"/>
      <c r="M77" s="115"/>
      <c r="N77" s="115"/>
      <c r="O77" s="115"/>
      <c r="P77" s="115"/>
      <c r="Q77" s="115"/>
      <c r="R77" s="115"/>
      <c r="S77" s="115"/>
      <c r="T77" s="115"/>
      <c r="U77" s="115"/>
      <c r="V77" s="115"/>
    </row>
    <row r="78" spans="1:22" x14ac:dyDescent="0.3">
      <c r="A78" s="108"/>
      <c r="B78" s="182"/>
      <c r="C78" s="177"/>
      <c r="D78" s="115"/>
      <c r="E78" s="115"/>
      <c r="F78" s="185"/>
      <c r="G78" s="89"/>
      <c r="H78" s="89"/>
      <c r="I78" s="89"/>
      <c r="J78" s="89"/>
      <c r="K78" s="89"/>
      <c r="L78" s="89"/>
      <c r="M78" s="89"/>
      <c r="N78" s="89"/>
      <c r="O78" s="89"/>
      <c r="P78" s="89"/>
      <c r="Q78" s="89"/>
      <c r="R78" s="115"/>
      <c r="S78" s="115"/>
      <c r="T78" s="115"/>
      <c r="U78" s="115"/>
      <c r="V78" s="115"/>
    </row>
    <row r="79" spans="1:22" x14ac:dyDescent="0.3">
      <c r="A79" s="108"/>
      <c r="B79" s="182"/>
      <c r="C79" s="115"/>
      <c r="D79" s="115"/>
      <c r="E79" s="115"/>
      <c r="F79" s="115"/>
      <c r="G79" s="115"/>
      <c r="H79" s="115"/>
      <c r="I79" s="115"/>
      <c r="J79" s="115"/>
      <c r="K79" s="115"/>
      <c r="L79" s="115"/>
      <c r="M79" s="115"/>
      <c r="N79" s="115"/>
      <c r="O79" s="115"/>
      <c r="P79" s="115"/>
      <c r="Q79" s="115"/>
      <c r="R79" s="115"/>
      <c r="S79" s="115"/>
      <c r="T79" s="115"/>
      <c r="U79" s="115"/>
      <c r="V79" s="115"/>
    </row>
    <row r="80" spans="1:22" x14ac:dyDescent="0.3">
      <c r="A80" s="108"/>
      <c r="B80" s="182"/>
      <c r="C80" s="115"/>
      <c r="D80" s="115"/>
      <c r="E80" s="115"/>
      <c r="F80" s="115"/>
      <c r="G80" s="89"/>
      <c r="H80" s="186"/>
      <c r="I80" s="186"/>
      <c r="J80" s="115"/>
      <c r="K80" s="115"/>
      <c r="L80" s="115"/>
      <c r="M80" s="115"/>
      <c r="N80" s="115"/>
      <c r="O80" s="115"/>
      <c r="P80" s="115"/>
      <c r="Q80" s="115"/>
      <c r="R80" s="115"/>
      <c r="S80" s="115"/>
      <c r="T80" s="115"/>
      <c r="U80" s="115"/>
      <c r="V80" s="115"/>
    </row>
    <row r="81" spans="1:22" x14ac:dyDescent="0.3">
      <c r="A81" s="108"/>
      <c r="B81" s="182"/>
      <c r="C81" s="115"/>
      <c r="D81" s="115"/>
      <c r="E81" s="115"/>
      <c r="F81" s="187"/>
      <c r="G81" s="188"/>
      <c r="H81" s="188"/>
      <c r="I81" s="188"/>
      <c r="J81" s="188"/>
      <c r="K81" s="188"/>
      <c r="L81" s="188"/>
      <c r="M81" s="188"/>
      <c r="N81" s="188"/>
      <c r="O81" s="188"/>
      <c r="P81" s="188"/>
      <c r="Q81" s="188"/>
      <c r="R81" s="115"/>
      <c r="S81" s="115"/>
      <c r="T81" s="115"/>
      <c r="U81" s="115"/>
      <c r="V81" s="115"/>
    </row>
    <row r="82" spans="1:22" x14ac:dyDescent="0.3">
      <c r="A82" s="108"/>
      <c r="B82" s="182"/>
      <c r="C82" s="115"/>
      <c r="D82" s="115"/>
      <c r="E82" s="115"/>
      <c r="F82" s="187"/>
      <c r="G82" s="188"/>
      <c r="H82" s="188"/>
      <c r="I82" s="188"/>
      <c r="J82" s="188"/>
      <c r="K82" s="188"/>
      <c r="L82" s="188"/>
      <c r="M82" s="188"/>
      <c r="N82" s="188"/>
      <c r="O82" s="188"/>
      <c r="P82" s="188"/>
      <c r="Q82" s="188"/>
      <c r="R82" s="115"/>
      <c r="S82" s="115"/>
      <c r="T82" s="115"/>
      <c r="U82" s="115"/>
      <c r="V82" s="115"/>
    </row>
    <row r="83" spans="1:22" x14ac:dyDescent="0.3">
      <c r="A83" s="108"/>
      <c r="B83" s="182"/>
      <c r="C83" s="115"/>
      <c r="D83" s="115"/>
      <c r="E83" s="115"/>
      <c r="F83" s="187"/>
      <c r="G83" s="188"/>
      <c r="H83" s="188"/>
      <c r="I83" s="188"/>
      <c r="J83" s="188"/>
      <c r="K83" s="188"/>
      <c r="L83" s="188"/>
      <c r="M83" s="188"/>
      <c r="N83" s="188"/>
      <c r="O83" s="188"/>
      <c r="P83" s="188"/>
      <c r="Q83" s="188"/>
      <c r="R83" s="115"/>
      <c r="S83" s="115"/>
      <c r="T83" s="115"/>
      <c r="U83" s="115"/>
      <c r="V83" s="115"/>
    </row>
    <row r="84" spans="1:22" x14ac:dyDescent="0.3">
      <c r="A84" s="108"/>
      <c r="B84" s="182"/>
      <c r="C84" s="115"/>
      <c r="D84" s="115"/>
      <c r="E84" s="115"/>
      <c r="F84" s="187"/>
      <c r="G84" s="188"/>
      <c r="H84" s="188"/>
      <c r="I84" s="188"/>
      <c r="J84" s="188"/>
      <c r="K84" s="188"/>
      <c r="L84" s="188"/>
      <c r="M84" s="188"/>
      <c r="N84" s="188"/>
      <c r="O84" s="188"/>
      <c r="P84" s="188"/>
      <c r="Q84" s="188"/>
      <c r="R84" s="115"/>
      <c r="S84" s="115"/>
      <c r="T84" s="115"/>
      <c r="U84" s="115"/>
      <c r="V84" s="115"/>
    </row>
    <row r="85" spans="1:22" x14ac:dyDescent="0.3">
      <c r="A85" s="108"/>
      <c r="B85" s="182"/>
      <c r="C85" s="115"/>
      <c r="D85" s="115"/>
      <c r="E85" s="115"/>
      <c r="F85" s="187"/>
      <c r="G85" s="188"/>
      <c r="H85" s="188"/>
      <c r="I85" s="188"/>
      <c r="J85" s="188"/>
      <c r="K85" s="188"/>
      <c r="L85" s="188"/>
      <c r="M85" s="188"/>
      <c r="N85" s="188"/>
      <c r="O85" s="188"/>
      <c r="P85" s="188"/>
      <c r="Q85" s="188"/>
      <c r="R85" s="115"/>
      <c r="S85" s="115"/>
      <c r="T85" s="115"/>
      <c r="U85" s="115"/>
      <c r="V85" s="115"/>
    </row>
    <row r="86" spans="1:22" x14ac:dyDescent="0.3">
      <c r="A86" s="108"/>
      <c r="B86" s="182"/>
      <c r="C86" s="115"/>
      <c r="D86" s="115"/>
      <c r="E86" s="115"/>
      <c r="F86" s="187"/>
      <c r="G86" s="187"/>
      <c r="H86" s="187"/>
      <c r="I86" s="187"/>
      <c r="J86" s="187"/>
      <c r="K86" s="187"/>
      <c r="L86" s="187"/>
      <c r="M86" s="187"/>
      <c r="N86" s="187"/>
      <c r="O86" s="187"/>
      <c r="P86" s="187"/>
      <c r="Q86" s="187"/>
      <c r="R86" s="115"/>
      <c r="S86" s="115"/>
      <c r="T86" s="115"/>
      <c r="U86" s="115"/>
      <c r="V86" s="115"/>
    </row>
    <row r="87" spans="1:22" x14ac:dyDescent="0.3">
      <c r="A87" s="108"/>
      <c r="B87" s="182"/>
      <c r="C87" s="115"/>
      <c r="D87" s="115"/>
      <c r="E87" s="115"/>
      <c r="F87" s="187"/>
      <c r="G87" s="187"/>
      <c r="H87" s="187"/>
      <c r="I87" s="187"/>
      <c r="J87" s="187"/>
      <c r="K87" s="187"/>
      <c r="L87" s="187"/>
      <c r="M87" s="187"/>
      <c r="N87" s="187"/>
      <c r="O87" s="187"/>
      <c r="P87" s="187"/>
      <c r="Q87" s="187"/>
      <c r="R87" s="115"/>
      <c r="S87" s="115"/>
      <c r="T87" s="115"/>
      <c r="U87" s="115"/>
      <c r="V87" s="115"/>
    </row>
    <row r="88" spans="1:22" x14ac:dyDescent="0.3">
      <c r="A88" s="108"/>
      <c r="B88" s="182"/>
      <c r="C88" s="115"/>
      <c r="D88" s="115"/>
      <c r="E88" s="115"/>
      <c r="F88" s="89"/>
      <c r="G88" s="184"/>
      <c r="H88" s="184"/>
      <c r="I88" s="184"/>
      <c r="J88" s="184"/>
      <c r="K88" s="184"/>
      <c r="L88" s="184"/>
      <c r="M88" s="184"/>
      <c r="N88" s="184"/>
      <c r="O88" s="184"/>
      <c r="P88" s="184"/>
      <c r="Q88" s="184"/>
      <c r="R88" s="115"/>
      <c r="S88" s="115"/>
      <c r="T88" s="115"/>
      <c r="U88" s="115"/>
      <c r="V88" s="115"/>
    </row>
    <row r="89" spans="1:22" x14ac:dyDescent="0.3">
      <c r="A89" s="108"/>
      <c r="B89" s="182"/>
      <c r="C89" s="115"/>
      <c r="D89" s="115"/>
      <c r="E89" s="115"/>
      <c r="F89" s="88"/>
      <c r="G89" s="88"/>
      <c r="H89" s="88"/>
      <c r="I89" s="88"/>
      <c r="J89" s="88"/>
      <c r="K89" s="88"/>
      <c r="L89" s="88"/>
      <c r="M89" s="88"/>
      <c r="N89" s="88"/>
      <c r="O89" s="88"/>
      <c r="P89" s="88"/>
      <c r="Q89" s="88"/>
      <c r="R89" s="115"/>
      <c r="S89" s="115"/>
      <c r="T89" s="115"/>
      <c r="U89" s="115"/>
      <c r="V89" s="115"/>
    </row>
    <row r="90" spans="1:22" x14ac:dyDescent="0.3">
      <c r="A90" s="108"/>
      <c r="B90" s="182"/>
      <c r="C90" s="177"/>
      <c r="D90" s="115"/>
      <c r="E90" s="115"/>
      <c r="F90" s="89"/>
      <c r="G90" s="89"/>
      <c r="H90" s="89"/>
      <c r="I90" s="89"/>
      <c r="J90" s="89"/>
      <c r="K90" s="89"/>
      <c r="L90" s="89"/>
      <c r="M90" s="89"/>
      <c r="N90" s="89"/>
      <c r="O90" s="89"/>
      <c r="P90" s="89"/>
      <c r="Q90" s="89"/>
      <c r="R90" s="115"/>
      <c r="S90" s="115"/>
      <c r="T90" s="115"/>
      <c r="U90" s="115"/>
      <c r="V90" s="115"/>
    </row>
    <row r="91" spans="1:22" x14ac:dyDescent="0.3">
      <c r="A91" s="108"/>
      <c r="B91" s="115"/>
      <c r="C91" s="177"/>
      <c r="D91" s="115"/>
      <c r="E91" s="115"/>
      <c r="F91" s="89"/>
      <c r="G91" s="89"/>
      <c r="H91" s="89"/>
      <c r="I91" s="89"/>
      <c r="J91" s="89"/>
      <c r="K91" s="89"/>
      <c r="L91" s="89"/>
      <c r="M91" s="89"/>
      <c r="N91" s="89"/>
      <c r="O91" s="89"/>
      <c r="P91" s="89"/>
      <c r="Q91" s="89"/>
      <c r="R91" s="115"/>
      <c r="S91" s="115"/>
      <c r="T91" s="115"/>
      <c r="U91" s="115"/>
      <c r="V91" s="115"/>
    </row>
    <row r="92" spans="1:22" x14ac:dyDescent="0.3">
      <c r="A92" s="108"/>
      <c r="B92" s="177"/>
      <c r="C92" s="115"/>
      <c r="D92" s="115"/>
      <c r="E92" s="115"/>
      <c r="F92" s="185"/>
      <c r="G92" s="89"/>
      <c r="H92" s="89"/>
      <c r="I92" s="89"/>
      <c r="J92" s="89"/>
      <c r="K92" s="89"/>
      <c r="L92" s="89"/>
      <c r="M92" s="89"/>
      <c r="N92" s="89"/>
      <c r="O92" s="89"/>
      <c r="P92" s="89"/>
      <c r="Q92" s="89"/>
      <c r="R92" s="115"/>
      <c r="S92" s="115"/>
      <c r="T92" s="115"/>
      <c r="U92" s="115"/>
      <c r="V92" s="115"/>
    </row>
    <row r="93" spans="1:22" x14ac:dyDescent="0.3">
      <c r="B93" s="115"/>
      <c r="C93" s="115"/>
      <c r="D93" s="115"/>
      <c r="E93" s="115"/>
      <c r="F93" s="115"/>
      <c r="G93" s="115"/>
      <c r="H93" s="115"/>
      <c r="I93" s="115"/>
      <c r="J93" s="115"/>
      <c r="K93" s="115"/>
      <c r="L93" s="115"/>
      <c r="M93" s="115"/>
      <c r="N93" s="115"/>
      <c r="O93" s="115"/>
      <c r="P93" s="115"/>
      <c r="Q93" s="115"/>
      <c r="R93" s="115"/>
      <c r="S93" s="115"/>
      <c r="T93" s="115"/>
      <c r="U93" s="115"/>
      <c r="V93" s="115"/>
    </row>
    <row r="94" spans="1:22" x14ac:dyDescent="0.3">
      <c r="B94" s="115"/>
      <c r="C94" s="115"/>
      <c r="D94" s="115"/>
      <c r="E94" s="115"/>
      <c r="F94" s="184"/>
      <c r="G94" s="184"/>
      <c r="H94" s="184"/>
      <c r="I94" s="184"/>
      <c r="J94" s="184"/>
      <c r="K94" s="184"/>
      <c r="L94" s="184"/>
      <c r="M94" s="184"/>
      <c r="N94" s="184"/>
      <c r="O94" s="184"/>
      <c r="P94" s="184"/>
      <c r="Q94" s="184"/>
      <c r="R94" s="115"/>
      <c r="S94" s="115"/>
      <c r="T94" s="115"/>
      <c r="U94" s="115"/>
      <c r="V94" s="115"/>
    </row>
    <row r="95" spans="1:22" x14ac:dyDescent="0.3">
      <c r="B95" s="189"/>
      <c r="C95" s="115"/>
      <c r="D95" s="115"/>
      <c r="E95" s="115"/>
      <c r="F95" s="185"/>
      <c r="G95" s="184"/>
      <c r="H95" s="184"/>
      <c r="I95" s="184"/>
      <c r="J95" s="184"/>
      <c r="K95" s="184"/>
      <c r="L95" s="184"/>
      <c r="M95" s="184"/>
      <c r="N95" s="184"/>
      <c r="O95" s="184"/>
      <c r="P95" s="184"/>
      <c r="Q95" s="184"/>
      <c r="R95" s="115"/>
      <c r="S95" s="115"/>
      <c r="T95" s="115"/>
      <c r="U95" s="115"/>
      <c r="V95" s="115"/>
    </row>
    <row r="96" spans="1:22" x14ac:dyDescent="0.3">
      <c r="B96" s="177"/>
      <c r="C96" s="115"/>
      <c r="D96" s="115"/>
      <c r="E96" s="115"/>
      <c r="F96" s="184"/>
      <c r="G96" s="184"/>
      <c r="H96" s="184"/>
      <c r="I96" s="184"/>
      <c r="J96" s="184"/>
      <c r="K96" s="184"/>
      <c r="L96" s="184"/>
      <c r="M96" s="184"/>
      <c r="N96" s="184"/>
      <c r="O96" s="184"/>
      <c r="P96" s="184"/>
      <c r="Q96" s="184"/>
      <c r="R96" s="115"/>
      <c r="S96" s="115"/>
      <c r="T96" s="115"/>
      <c r="U96" s="115"/>
      <c r="V96" s="115"/>
    </row>
    <row r="97" spans="1:22" x14ac:dyDescent="0.3">
      <c r="B97" s="115"/>
      <c r="C97" s="115"/>
      <c r="D97" s="115"/>
      <c r="E97" s="115"/>
      <c r="F97" s="88"/>
      <c r="G97" s="88"/>
      <c r="H97" s="88"/>
      <c r="I97" s="88"/>
      <c r="J97" s="88"/>
      <c r="K97" s="88"/>
      <c r="L97" s="88"/>
      <c r="M97" s="88"/>
      <c r="N97" s="88"/>
      <c r="O97" s="88"/>
      <c r="P97" s="88"/>
      <c r="Q97" s="88"/>
      <c r="R97" s="115"/>
      <c r="S97" s="115"/>
      <c r="T97" s="115"/>
      <c r="U97" s="115"/>
      <c r="V97" s="115"/>
    </row>
    <row r="98" spans="1:22" x14ac:dyDescent="0.3">
      <c r="B98" s="177"/>
      <c r="C98" s="115"/>
      <c r="D98" s="115"/>
      <c r="E98" s="115"/>
      <c r="F98" s="88"/>
      <c r="G98" s="88"/>
      <c r="H98" s="88"/>
      <c r="I98" s="88"/>
      <c r="J98" s="88"/>
      <c r="K98" s="88"/>
      <c r="L98" s="88"/>
      <c r="M98" s="88"/>
      <c r="N98" s="88"/>
      <c r="O98" s="88"/>
      <c r="P98" s="88"/>
      <c r="Q98" s="88"/>
      <c r="R98" s="115"/>
      <c r="S98" s="115"/>
      <c r="T98" s="115"/>
      <c r="U98" s="115"/>
      <c r="V98" s="115"/>
    </row>
    <row r="99" spans="1:22" x14ac:dyDescent="0.3">
      <c r="B99" s="177"/>
      <c r="C99" s="115"/>
      <c r="D99" s="115"/>
      <c r="E99" s="115"/>
      <c r="F99" s="88"/>
      <c r="G99" s="88"/>
      <c r="H99" s="88"/>
      <c r="I99" s="88"/>
      <c r="J99" s="88"/>
      <c r="K99" s="88"/>
      <c r="L99" s="88"/>
      <c r="M99" s="88"/>
      <c r="N99" s="88"/>
      <c r="O99" s="88"/>
      <c r="P99" s="88"/>
      <c r="Q99" s="88"/>
      <c r="R99" s="115"/>
      <c r="S99" s="115"/>
      <c r="T99" s="115"/>
      <c r="U99" s="115"/>
      <c r="V99" s="115"/>
    </row>
    <row r="100" spans="1:22" x14ac:dyDescent="0.3">
      <c r="B100" s="177"/>
      <c r="C100" s="115"/>
      <c r="D100" s="115"/>
      <c r="E100" s="115"/>
      <c r="F100" s="88"/>
      <c r="G100" s="88"/>
      <c r="H100" s="88"/>
      <c r="I100" s="88"/>
      <c r="J100" s="88"/>
      <c r="K100" s="88"/>
      <c r="L100" s="88"/>
      <c r="M100" s="88"/>
      <c r="N100" s="88"/>
      <c r="O100" s="88"/>
      <c r="P100" s="88"/>
      <c r="Q100" s="88"/>
      <c r="R100" s="115"/>
      <c r="S100" s="115"/>
      <c r="T100" s="115"/>
      <c r="U100" s="115"/>
      <c r="V100" s="115"/>
    </row>
    <row r="101" spans="1:22" x14ac:dyDescent="0.3">
      <c r="B101" s="189"/>
      <c r="C101" s="115"/>
      <c r="D101" s="115"/>
      <c r="E101" s="115"/>
      <c r="F101" s="88"/>
      <c r="G101" s="88"/>
      <c r="H101" s="88"/>
      <c r="I101" s="88"/>
      <c r="J101" s="88"/>
      <c r="K101" s="88"/>
      <c r="L101" s="88"/>
      <c r="M101" s="88"/>
      <c r="N101" s="88"/>
      <c r="O101" s="88"/>
      <c r="P101" s="88"/>
      <c r="Q101" s="88"/>
      <c r="R101" s="115"/>
      <c r="S101" s="115"/>
      <c r="T101" s="115"/>
      <c r="U101" s="115"/>
      <c r="V101" s="115"/>
    </row>
    <row r="102" spans="1:22" x14ac:dyDescent="0.3">
      <c r="B102" s="177"/>
      <c r="C102" s="115"/>
      <c r="D102" s="115"/>
      <c r="E102" s="115"/>
      <c r="F102" s="184"/>
      <c r="G102" s="184"/>
      <c r="H102" s="184"/>
      <c r="I102" s="184"/>
      <c r="J102" s="184"/>
      <c r="K102" s="184"/>
      <c r="L102" s="184"/>
      <c r="M102" s="184"/>
      <c r="N102" s="184"/>
      <c r="O102" s="184"/>
      <c r="P102" s="184"/>
      <c r="Q102" s="184"/>
      <c r="R102" s="115"/>
      <c r="S102" s="115"/>
      <c r="T102" s="115"/>
      <c r="U102" s="115"/>
      <c r="V102" s="115"/>
    </row>
    <row r="103" spans="1:22" x14ac:dyDescent="0.3">
      <c r="B103" s="115"/>
      <c r="C103" s="115"/>
      <c r="D103" s="115"/>
      <c r="E103" s="115"/>
      <c r="F103" s="89"/>
      <c r="G103" s="89"/>
      <c r="H103" s="89"/>
      <c r="I103" s="89"/>
      <c r="J103" s="89"/>
      <c r="K103" s="89"/>
      <c r="L103" s="89"/>
      <c r="M103" s="89"/>
      <c r="N103" s="89"/>
      <c r="O103" s="89"/>
      <c r="P103" s="89"/>
      <c r="Q103" s="89"/>
      <c r="R103" s="115"/>
      <c r="S103" s="115"/>
      <c r="T103" s="115"/>
      <c r="U103" s="115"/>
      <c r="V103" s="115"/>
    </row>
    <row r="104" spans="1:22" x14ac:dyDescent="0.3">
      <c r="B104" s="189"/>
      <c r="C104" s="115"/>
      <c r="D104" s="115"/>
      <c r="E104" s="115"/>
      <c r="F104" s="89"/>
      <c r="G104" s="89"/>
      <c r="H104" s="89"/>
      <c r="I104" s="89"/>
      <c r="J104" s="89"/>
      <c r="K104" s="89"/>
      <c r="L104" s="89"/>
      <c r="M104" s="89"/>
      <c r="N104" s="89"/>
      <c r="O104" s="89"/>
      <c r="P104" s="89"/>
      <c r="Q104" s="89"/>
      <c r="R104" s="115"/>
      <c r="S104" s="115"/>
      <c r="T104" s="115"/>
      <c r="U104" s="115"/>
      <c r="V104" s="115"/>
    </row>
    <row r="105" spans="1:22" x14ac:dyDescent="0.3">
      <c r="B105" s="189"/>
      <c r="C105" s="115"/>
      <c r="D105" s="115"/>
      <c r="E105" s="115"/>
      <c r="F105" s="88"/>
      <c r="G105" s="88"/>
      <c r="H105" s="88"/>
      <c r="I105" s="88"/>
      <c r="J105" s="88"/>
      <c r="K105" s="88"/>
      <c r="L105" s="88"/>
      <c r="M105" s="88"/>
      <c r="N105" s="88"/>
      <c r="O105" s="88"/>
      <c r="P105" s="88"/>
      <c r="Q105" s="88"/>
      <c r="R105" s="115"/>
      <c r="S105" s="115"/>
      <c r="T105" s="115"/>
      <c r="U105" s="115"/>
      <c r="V105" s="115"/>
    </row>
    <row r="106" spans="1:22" x14ac:dyDescent="0.3">
      <c r="B106" s="189"/>
      <c r="C106" s="115"/>
      <c r="D106" s="115"/>
      <c r="E106" s="115"/>
      <c r="F106" s="89"/>
      <c r="G106" s="89"/>
      <c r="H106" s="89"/>
      <c r="I106" s="89"/>
      <c r="J106" s="89"/>
      <c r="K106" s="89"/>
      <c r="L106" s="89"/>
      <c r="M106" s="89"/>
      <c r="N106" s="89"/>
      <c r="O106" s="89"/>
      <c r="P106" s="89"/>
      <c r="Q106" s="89"/>
      <c r="R106" s="115"/>
      <c r="S106" s="115"/>
      <c r="T106" s="115"/>
      <c r="U106" s="115"/>
      <c r="V106" s="115"/>
    </row>
    <row r="107" spans="1:22" x14ac:dyDescent="0.3">
      <c r="B107" s="189"/>
      <c r="C107" s="115"/>
      <c r="D107" s="115"/>
      <c r="E107" s="115"/>
      <c r="F107" s="188"/>
      <c r="G107" s="188"/>
      <c r="H107" s="188"/>
      <c r="I107" s="188"/>
      <c r="J107" s="188"/>
      <c r="K107" s="188"/>
      <c r="L107" s="188"/>
      <c r="M107" s="188"/>
      <c r="N107" s="188"/>
      <c r="O107" s="188"/>
      <c r="P107" s="188"/>
      <c r="Q107" s="188"/>
      <c r="R107" s="188"/>
      <c r="S107" s="188"/>
      <c r="T107" s="115"/>
      <c r="U107" s="115"/>
      <c r="V107" s="115"/>
    </row>
    <row r="108" spans="1:22" x14ac:dyDescent="0.3">
      <c r="B108" s="189"/>
      <c r="C108" s="115"/>
      <c r="D108" s="115"/>
      <c r="E108" s="115"/>
      <c r="F108" s="190"/>
      <c r="G108" s="190"/>
      <c r="H108" s="190"/>
      <c r="I108" s="190"/>
      <c r="J108" s="190"/>
      <c r="K108" s="190"/>
      <c r="L108" s="190"/>
      <c r="M108" s="190"/>
      <c r="N108" s="190"/>
      <c r="O108" s="190"/>
      <c r="P108" s="190"/>
      <c r="Q108" s="190"/>
      <c r="R108" s="191"/>
      <c r="S108" s="191"/>
      <c r="T108" s="115"/>
      <c r="U108" s="115"/>
      <c r="V108" s="115"/>
    </row>
    <row r="109" spans="1:22" x14ac:dyDescent="0.3">
      <c r="B109" s="189"/>
      <c r="C109" s="115"/>
      <c r="D109" s="115"/>
      <c r="E109" s="115"/>
      <c r="F109" s="190"/>
      <c r="G109" s="190"/>
      <c r="H109" s="190"/>
      <c r="I109" s="190"/>
      <c r="J109" s="190"/>
      <c r="K109" s="190"/>
      <c r="L109" s="190"/>
      <c r="M109" s="190"/>
      <c r="N109" s="190"/>
      <c r="O109" s="190"/>
      <c r="P109" s="190"/>
      <c r="Q109" s="190"/>
      <c r="R109" s="191"/>
      <c r="S109" s="191"/>
      <c r="T109" s="115"/>
      <c r="U109" s="115"/>
      <c r="V109" s="115"/>
    </row>
    <row r="110" spans="1:22" x14ac:dyDescent="0.3">
      <c r="B110" s="192"/>
      <c r="F110" s="161"/>
      <c r="G110" s="161"/>
      <c r="H110" s="161"/>
      <c r="I110" s="161"/>
      <c r="J110" s="161"/>
      <c r="K110" s="161"/>
      <c r="L110" s="161"/>
      <c r="M110" s="161"/>
      <c r="N110" s="161"/>
      <c r="O110" s="161"/>
      <c r="P110" s="161"/>
      <c r="Q110" s="161"/>
      <c r="R110" s="193"/>
      <c r="S110" s="193"/>
    </row>
    <row r="111" spans="1:22" ht="46.5" customHeight="1" x14ac:dyDescent="0.3">
      <c r="A111" s="374"/>
      <c r="B111" s="374"/>
      <c r="C111" s="374"/>
      <c r="D111" s="374"/>
      <c r="E111" s="374"/>
      <c r="F111" s="374"/>
      <c r="G111" s="374"/>
      <c r="H111" s="374"/>
      <c r="I111" s="374"/>
      <c r="J111" s="374"/>
      <c r="K111" s="374"/>
      <c r="L111" s="374"/>
      <c r="M111" s="374"/>
      <c r="N111" s="374"/>
      <c r="O111" s="374"/>
      <c r="P111" s="194"/>
      <c r="Q111" s="120"/>
    </row>
    <row r="113" spans="2:17" x14ac:dyDescent="0.3">
      <c r="B113" s="171"/>
    </row>
    <row r="115" spans="2:17" x14ac:dyDescent="0.3">
      <c r="C115" s="195"/>
      <c r="D115" s="195"/>
      <c r="E115" s="195"/>
      <c r="J115" s="122"/>
    </row>
    <row r="116" spans="2:17" x14ac:dyDescent="0.3">
      <c r="C116" s="196"/>
      <c r="D116" s="197"/>
      <c r="E116" s="196"/>
      <c r="F116" s="120"/>
      <c r="G116" s="120"/>
      <c r="H116" s="120"/>
      <c r="I116" s="120"/>
      <c r="J116" s="120"/>
      <c r="K116" s="120"/>
      <c r="L116" s="120"/>
      <c r="M116" s="120"/>
      <c r="N116" s="120"/>
      <c r="O116" s="120"/>
      <c r="P116" s="120"/>
      <c r="Q116" s="120"/>
    </row>
    <row r="117" spans="2:17" x14ac:dyDescent="0.3">
      <c r="C117" s="196"/>
      <c r="D117" s="197"/>
      <c r="E117" s="196"/>
      <c r="F117" s="120"/>
      <c r="G117" s="120"/>
      <c r="H117" s="120"/>
      <c r="I117" s="120"/>
      <c r="J117" s="120"/>
      <c r="K117" s="120"/>
      <c r="L117" s="120"/>
      <c r="M117" s="120"/>
      <c r="N117" s="120"/>
      <c r="O117" s="120"/>
      <c r="P117" s="120"/>
      <c r="Q117" s="120"/>
    </row>
    <row r="118" spans="2:17" x14ac:dyDescent="0.3">
      <c r="C118" s="196"/>
      <c r="D118" s="197"/>
      <c r="E118" s="196"/>
      <c r="F118" s="120"/>
      <c r="G118" s="120"/>
      <c r="H118" s="120"/>
      <c r="I118" s="120"/>
      <c r="J118" s="120"/>
      <c r="K118" s="120"/>
      <c r="L118" s="120"/>
      <c r="M118" s="120"/>
      <c r="N118" s="120"/>
      <c r="O118" s="120"/>
      <c r="P118" s="120"/>
      <c r="Q118" s="120"/>
    </row>
    <row r="119" spans="2:17" x14ac:dyDescent="0.3">
      <c r="C119" s="196"/>
      <c r="D119" s="197"/>
      <c r="E119" s="196"/>
      <c r="F119" s="120"/>
      <c r="G119" s="120"/>
      <c r="H119" s="120"/>
      <c r="I119" s="120"/>
      <c r="J119" s="120"/>
      <c r="K119" s="120"/>
      <c r="L119" s="120"/>
      <c r="M119" s="120"/>
      <c r="N119" s="120"/>
      <c r="O119" s="120"/>
      <c r="P119" s="120"/>
      <c r="Q119" s="120"/>
    </row>
    <row r="120" spans="2:17" x14ac:dyDescent="0.3">
      <c r="C120" s="196"/>
      <c r="D120" s="197"/>
      <c r="E120" s="196"/>
      <c r="F120" s="120"/>
      <c r="G120" s="120"/>
      <c r="H120" s="120"/>
      <c r="I120" s="120"/>
      <c r="J120" s="120"/>
      <c r="K120" s="120"/>
      <c r="L120" s="120"/>
      <c r="M120" s="120"/>
      <c r="N120" s="120"/>
      <c r="O120" s="120"/>
      <c r="P120" s="120"/>
      <c r="Q120" s="120"/>
    </row>
    <row r="121" spans="2:17" x14ac:dyDescent="0.3">
      <c r="C121" s="196"/>
      <c r="D121" s="197"/>
      <c r="E121" s="196"/>
      <c r="F121" s="120"/>
      <c r="G121" s="120"/>
      <c r="H121" s="120"/>
      <c r="I121" s="120"/>
      <c r="J121" s="120"/>
      <c r="K121" s="120"/>
      <c r="L121" s="120"/>
      <c r="M121" s="120"/>
      <c r="N121" s="120"/>
      <c r="O121" s="120"/>
      <c r="P121" s="120"/>
      <c r="Q121" s="120"/>
    </row>
    <row r="122" spans="2:17" x14ac:dyDescent="0.3">
      <c r="C122" s="196"/>
      <c r="D122" s="197"/>
      <c r="E122" s="196"/>
      <c r="F122" s="120"/>
      <c r="G122" s="120"/>
      <c r="H122" s="120"/>
      <c r="I122" s="120"/>
      <c r="J122" s="120"/>
      <c r="K122" s="120"/>
      <c r="L122" s="120"/>
      <c r="M122" s="120"/>
      <c r="N122" s="120"/>
      <c r="O122" s="120"/>
      <c r="P122" s="120"/>
      <c r="Q122" s="120"/>
    </row>
    <row r="123" spans="2:17" x14ac:dyDescent="0.3">
      <c r="C123" s="196"/>
      <c r="D123" s="197"/>
      <c r="E123" s="196"/>
      <c r="F123" s="120"/>
      <c r="G123" s="120"/>
      <c r="H123" s="120"/>
      <c r="I123" s="120"/>
      <c r="J123" s="120"/>
      <c r="K123" s="120"/>
      <c r="L123" s="120"/>
      <c r="M123" s="120"/>
      <c r="N123" s="120"/>
      <c r="O123" s="120"/>
      <c r="P123" s="120"/>
      <c r="Q123" s="120"/>
    </row>
    <row r="124" spans="2:17" x14ac:dyDescent="0.3">
      <c r="C124" s="196"/>
      <c r="D124" s="197"/>
      <c r="E124" s="196"/>
      <c r="F124" s="120"/>
      <c r="G124" s="120"/>
      <c r="H124" s="120"/>
      <c r="I124" s="120"/>
      <c r="J124" s="120"/>
      <c r="K124" s="120"/>
      <c r="L124" s="120"/>
      <c r="M124" s="120"/>
      <c r="N124" s="120"/>
      <c r="O124" s="120"/>
      <c r="P124" s="120"/>
      <c r="Q124" s="120"/>
    </row>
    <row r="125" spans="2:17" x14ac:dyDescent="0.3">
      <c r="C125" s="196"/>
      <c r="D125" s="197"/>
      <c r="E125" s="196"/>
      <c r="F125" s="120"/>
      <c r="G125" s="120"/>
      <c r="H125" s="120"/>
      <c r="I125" s="120"/>
      <c r="J125" s="120"/>
      <c r="K125" s="120"/>
      <c r="L125" s="120"/>
      <c r="M125" s="120"/>
      <c r="N125" s="120"/>
      <c r="O125" s="120"/>
      <c r="P125" s="120"/>
      <c r="Q125" s="120"/>
    </row>
    <row r="126" spans="2:17" x14ac:dyDescent="0.3">
      <c r="C126" s="196"/>
      <c r="D126" s="197"/>
      <c r="E126" s="196"/>
      <c r="F126" s="120"/>
      <c r="G126" s="120"/>
      <c r="H126" s="120"/>
      <c r="I126" s="120"/>
      <c r="J126" s="120"/>
      <c r="K126" s="120"/>
      <c r="L126" s="120"/>
      <c r="M126" s="120"/>
      <c r="N126" s="120"/>
      <c r="O126" s="120"/>
      <c r="P126" s="120"/>
      <c r="Q126" s="120"/>
    </row>
    <row r="127" spans="2:17" x14ac:dyDescent="0.3">
      <c r="C127" s="196"/>
      <c r="D127" s="197"/>
      <c r="E127" s="196"/>
      <c r="F127" s="120"/>
      <c r="G127" s="120"/>
      <c r="H127" s="120"/>
      <c r="I127" s="120"/>
      <c r="J127" s="120"/>
      <c r="K127" s="120"/>
      <c r="L127" s="120"/>
      <c r="M127" s="120"/>
      <c r="N127" s="120"/>
      <c r="O127" s="120"/>
      <c r="P127" s="120"/>
      <c r="Q127" s="120"/>
    </row>
    <row r="128" spans="2:17" x14ac:dyDescent="0.3">
      <c r="C128" s="196"/>
      <c r="D128" s="197"/>
      <c r="E128" s="196"/>
      <c r="F128" s="120"/>
      <c r="G128" s="120"/>
      <c r="H128" s="120"/>
      <c r="I128" s="120"/>
      <c r="J128" s="120"/>
      <c r="K128" s="120"/>
      <c r="L128" s="120"/>
      <c r="M128" s="120"/>
      <c r="N128" s="120"/>
      <c r="O128" s="120"/>
      <c r="P128" s="120"/>
      <c r="Q128" s="120"/>
    </row>
    <row r="129" spans="3:17" x14ac:dyDescent="0.3">
      <c r="C129" s="196"/>
      <c r="D129" s="197"/>
      <c r="E129" s="196"/>
      <c r="F129" s="120"/>
      <c r="G129" s="120"/>
      <c r="H129" s="120"/>
      <c r="I129" s="120"/>
      <c r="J129" s="120"/>
      <c r="K129" s="120"/>
      <c r="L129" s="120"/>
      <c r="M129" s="120"/>
      <c r="N129" s="120"/>
      <c r="O129" s="120"/>
      <c r="P129" s="120"/>
      <c r="Q129" s="120"/>
    </row>
    <row r="130" spans="3:17" x14ac:dyDescent="0.3">
      <c r="C130" s="196"/>
      <c r="D130" s="197"/>
      <c r="E130" s="196"/>
      <c r="F130" s="120"/>
      <c r="G130" s="120"/>
      <c r="H130" s="120"/>
      <c r="I130" s="120"/>
      <c r="J130" s="120"/>
      <c r="K130" s="120"/>
      <c r="L130" s="120"/>
      <c r="M130" s="120"/>
      <c r="N130" s="120"/>
      <c r="O130" s="120"/>
      <c r="P130" s="120"/>
      <c r="Q130" s="120"/>
    </row>
    <row r="131" spans="3:17" x14ac:dyDescent="0.3">
      <c r="C131" s="196"/>
      <c r="D131" s="197"/>
      <c r="E131" s="196"/>
      <c r="F131" s="120"/>
      <c r="G131" s="120"/>
      <c r="H131" s="120"/>
      <c r="I131" s="120"/>
      <c r="J131" s="120"/>
      <c r="K131" s="120"/>
      <c r="L131" s="120"/>
      <c r="M131" s="120"/>
      <c r="N131" s="120"/>
      <c r="O131" s="120"/>
      <c r="P131" s="120"/>
      <c r="Q131" s="120"/>
    </row>
    <row r="132" spans="3:17" x14ac:dyDescent="0.3">
      <c r="C132" s="196"/>
      <c r="D132" s="197"/>
      <c r="E132" s="196"/>
      <c r="F132" s="120"/>
      <c r="G132" s="120"/>
      <c r="H132" s="120"/>
      <c r="I132" s="120"/>
      <c r="J132" s="120"/>
      <c r="K132" s="120"/>
      <c r="L132" s="120"/>
      <c r="M132" s="120"/>
      <c r="N132" s="120"/>
      <c r="O132" s="120"/>
      <c r="P132" s="120"/>
      <c r="Q132" s="120"/>
    </row>
    <row r="133" spans="3:17" x14ac:dyDescent="0.3">
      <c r="C133" s="196"/>
      <c r="D133" s="197"/>
      <c r="E133" s="196"/>
      <c r="F133" s="120"/>
      <c r="G133" s="120"/>
      <c r="H133" s="120"/>
      <c r="I133" s="120"/>
      <c r="J133" s="120"/>
      <c r="K133" s="120"/>
      <c r="L133" s="120"/>
      <c r="M133" s="120"/>
      <c r="N133" s="120"/>
      <c r="O133" s="120"/>
      <c r="P133" s="120"/>
      <c r="Q133" s="120"/>
    </row>
    <row r="134" spans="3:17" x14ac:dyDescent="0.3">
      <c r="C134" s="196"/>
      <c r="D134" s="197"/>
      <c r="E134" s="196"/>
      <c r="F134" s="120"/>
      <c r="G134" s="120"/>
      <c r="H134" s="120"/>
      <c r="I134" s="120"/>
      <c r="J134" s="120"/>
      <c r="K134" s="120"/>
      <c r="L134" s="120"/>
      <c r="M134" s="120"/>
      <c r="N134" s="120"/>
      <c r="O134" s="120"/>
      <c r="P134" s="120"/>
      <c r="Q134" s="120"/>
    </row>
    <row r="135" spans="3:17" x14ac:dyDescent="0.3">
      <c r="C135" s="196"/>
      <c r="D135" s="197"/>
      <c r="E135" s="196"/>
      <c r="F135" s="120"/>
      <c r="G135" s="120"/>
      <c r="H135" s="120"/>
      <c r="I135" s="120"/>
      <c r="J135" s="120"/>
      <c r="K135" s="120"/>
      <c r="L135" s="120"/>
      <c r="M135" s="120"/>
      <c r="N135" s="120"/>
      <c r="O135" s="120"/>
      <c r="P135" s="120"/>
      <c r="Q135" s="120"/>
    </row>
    <row r="136" spans="3:17" x14ac:dyDescent="0.3">
      <c r="C136" s="196"/>
      <c r="D136" s="197"/>
      <c r="E136" s="196"/>
      <c r="F136" s="120"/>
      <c r="G136" s="120"/>
      <c r="H136" s="120"/>
      <c r="I136" s="120"/>
      <c r="J136" s="120"/>
      <c r="K136" s="120"/>
      <c r="L136" s="120"/>
      <c r="M136" s="120"/>
      <c r="N136" s="120"/>
      <c r="O136" s="120"/>
      <c r="P136" s="120"/>
      <c r="Q136" s="120"/>
    </row>
    <row r="137" spans="3:17" x14ac:dyDescent="0.3">
      <c r="C137" s="196"/>
      <c r="D137" s="197"/>
      <c r="E137" s="196"/>
      <c r="F137" s="120"/>
      <c r="G137" s="120"/>
      <c r="H137" s="120"/>
      <c r="I137" s="120"/>
      <c r="J137" s="120"/>
      <c r="K137" s="120"/>
      <c r="L137" s="120"/>
      <c r="M137" s="120"/>
      <c r="N137" s="120"/>
      <c r="O137" s="120"/>
      <c r="P137" s="120"/>
      <c r="Q137" s="120"/>
    </row>
    <row r="138" spans="3:17" x14ac:dyDescent="0.3">
      <c r="C138" s="196"/>
      <c r="D138" s="197"/>
      <c r="E138" s="196"/>
      <c r="F138" s="120"/>
      <c r="G138" s="120"/>
      <c r="H138" s="120"/>
      <c r="I138" s="120"/>
      <c r="J138" s="120"/>
      <c r="K138" s="120"/>
      <c r="L138" s="120"/>
      <c r="M138" s="120"/>
      <c r="N138" s="120"/>
      <c r="O138" s="120"/>
      <c r="P138" s="120"/>
      <c r="Q138" s="120"/>
    </row>
    <row r="139" spans="3:17" x14ac:dyDescent="0.3">
      <c r="C139" s="196"/>
      <c r="D139" s="197"/>
      <c r="E139" s="196"/>
      <c r="F139" s="120"/>
      <c r="G139" s="120"/>
      <c r="H139" s="120"/>
      <c r="I139" s="120"/>
      <c r="J139" s="120"/>
      <c r="K139" s="120"/>
      <c r="L139" s="120"/>
      <c r="M139" s="120"/>
      <c r="N139" s="120"/>
      <c r="O139" s="120"/>
      <c r="P139" s="120"/>
      <c r="Q139" s="120"/>
    </row>
    <row r="140" spans="3:17" x14ac:dyDescent="0.3">
      <c r="C140" s="196"/>
      <c r="D140" s="197"/>
      <c r="E140" s="196"/>
      <c r="F140" s="120"/>
      <c r="G140" s="120"/>
      <c r="H140" s="120"/>
      <c r="I140" s="120"/>
      <c r="J140" s="120"/>
      <c r="K140" s="120"/>
      <c r="L140" s="120"/>
      <c r="M140" s="120"/>
      <c r="N140" s="120"/>
      <c r="O140" s="120"/>
      <c r="P140" s="120"/>
      <c r="Q140" s="120"/>
    </row>
    <row r="141" spans="3:17" x14ac:dyDescent="0.3">
      <c r="C141" s="196"/>
      <c r="D141" s="197"/>
      <c r="E141" s="196"/>
      <c r="F141" s="120"/>
      <c r="G141" s="120"/>
      <c r="H141" s="120"/>
      <c r="I141" s="120"/>
      <c r="J141" s="120"/>
      <c r="K141" s="120"/>
      <c r="L141" s="120"/>
      <c r="M141" s="120"/>
      <c r="N141" s="120"/>
      <c r="O141" s="120"/>
      <c r="P141" s="120"/>
      <c r="Q141" s="120"/>
    </row>
    <row r="142" spans="3:17" x14ac:dyDescent="0.3">
      <c r="C142" s="196"/>
      <c r="D142" s="197"/>
      <c r="E142" s="196"/>
      <c r="F142" s="120"/>
      <c r="G142" s="120"/>
      <c r="H142" s="120"/>
      <c r="I142" s="120"/>
      <c r="J142" s="120"/>
      <c r="K142" s="120"/>
      <c r="L142" s="120"/>
      <c r="M142" s="120"/>
      <c r="N142" s="120"/>
      <c r="O142" s="120"/>
      <c r="P142" s="120"/>
      <c r="Q142" s="120"/>
    </row>
    <row r="143" spans="3:17" x14ac:dyDescent="0.3">
      <c r="C143" s="196"/>
      <c r="D143" s="197"/>
      <c r="E143" s="196"/>
      <c r="F143" s="120"/>
      <c r="G143" s="120"/>
      <c r="H143" s="120"/>
      <c r="I143" s="120"/>
      <c r="J143" s="120"/>
      <c r="K143" s="120"/>
      <c r="L143" s="120"/>
      <c r="M143" s="120"/>
      <c r="N143" s="120"/>
      <c r="O143" s="120"/>
      <c r="P143" s="120"/>
      <c r="Q143" s="120"/>
    </row>
    <row r="144" spans="3:17" x14ac:dyDescent="0.3">
      <c r="C144" s="196"/>
      <c r="D144" s="197"/>
      <c r="E144" s="196"/>
      <c r="F144" s="120"/>
      <c r="G144" s="120"/>
      <c r="H144" s="120"/>
      <c r="I144" s="120"/>
      <c r="J144" s="120"/>
      <c r="K144" s="120"/>
      <c r="L144" s="120"/>
      <c r="M144" s="120"/>
      <c r="N144" s="120"/>
      <c r="O144" s="120"/>
      <c r="P144" s="120"/>
      <c r="Q144" s="120"/>
    </row>
    <row r="145" spans="3:17" x14ac:dyDescent="0.3">
      <c r="C145" s="196"/>
      <c r="D145" s="197"/>
      <c r="E145" s="196"/>
      <c r="F145" s="120"/>
      <c r="G145" s="120"/>
      <c r="H145" s="120"/>
      <c r="I145" s="120"/>
      <c r="J145" s="120"/>
      <c r="K145" s="120"/>
      <c r="L145" s="120"/>
      <c r="M145" s="120"/>
      <c r="N145" s="120"/>
      <c r="O145" s="120"/>
      <c r="P145" s="120"/>
      <c r="Q145" s="120"/>
    </row>
    <row r="146" spans="3:17" x14ac:dyDescent="0.3">
      <c r="C146" s="196"/>
      <c r="D146" s="197"/>
      <c r="E146" s="196"/>
      <c r="F146" s="120"/>
      <c r="G146" s="120"/>
      <c r="H146" s="120"/>
      <c r="I146" s="120"/>
      <c r="J146" s="120"/>
      <c r="K146" s="120"/>
      <c r="L146" s="120"/>
      <c r="M146" s="120"/>
      <c r="N146" s="120"/>
      <c r="O146" s="120"/>
      <c r="P146" s="120"/>
      <c r="Q146" s="120"/>
    </row>
    <row r="147" spans="3:17" x14ac:dyDescent="0.3">
      <c r="C147" s="196"/>
      <c r="D147" s="197"/>
      <c r="E147" s="196"/>
      <c r="F147" s="120"/>
      <c r="G147" s="120"/>
      <c r="H147" s="120"/>
      <c r="I147" s="120"/>
      <c r="J147" s="120"/>
      <c r="K147" s="120"/>
      <c r="L147" s="120"/>
      <c r="M147" s="120"/>
      <c r="N147" s="120"/>
      <c r="O147" s="120"/>
      <c r="P147" s="120"/>
      <c r="Q147" s="120"/>
    </row>
    <row r="148" spans="3:17" x14ac:dyDescent="0.3">
      <c r="C148" s="196"/>
      <c r="D148" s="197"/>
      <c r="E148" s="196"/>
      <c r="F148" s="120"/>
      <c r="G148" s="120"/>
      <c r="H148" s="120"/>
      <c r="I148" s="120"/>
      <c r="J148" s="120"/>
      <c r="K148" s="120"/>
      <c r="L148" s="120"/>
      <c r="M148" s="120"/>
      <c r="N148" s="120"/>
      <c r="O148" s="120"/>
      <c r="P148" s="120"/>
      <c r="Q148" s="120"/>
    </row>
    <row r="149" spans="3:17" x14ac:dyDescent="0.3">
      <c r="C149" s="196"/>
      <c r="D149" s="197"/>
      <c r="E149" s="196"/>
      <c r="F149" s="120"/>
      <c r="G149" s="120"/>
      <c r="H149" s="120"/>
      <c r="I149" s="120"/>
      <c r="J149" s="120"/>
      <c r="K149" s="120"/>
      <c r="L149" s="120"/>
      <c r="M149" s="120"/>
      <c r="N149" s="120"/>
      <c r="O149" s="120"/>
      <c r="P149" s="120"/>
      <c r="Q149" s="120"/>
    </row>
    <row r="150" spans="3:17" x14ac:dyDescent="0.3">
      <c r="C150" s="196"/>
      <c r="D150" s="197"/>
      <c r="E150" s="196"/>
      <c r="F150" s="120"/>
      <c r="G150" s="120"/>
      <c r="H150" s="120"/>
      <c r="I150" s="120"/>
      <c r="J150" s="120"/>
      <c r="K150" s="120"/>
      <c r="L150" s="120"/>
      <c r="M150" s="120"/>
      <c r="N150" s="120"/>
      <c r="O150" s="120"/>
      <c r="P150" s="120"/>
      <c r="Q150" s="120"/>
    </row>
    <row r="151" spans="3:17" x14ac:dyDescent="0.3">
      <c r="C151" s="196"/>
      <c r="D151" s="197"/>
      <c r="E151" s="196"/>
      <c r="F151" s="120"/>
      <c r="G151" s="120"/>
      <c r="H151" s="120"/>
      <c r="I151" s="120"/>
      <c r="J151" s="120"/>
      <c r="K151" s="120"/>
      <c r="L151" s="120"/>
      <c r="M151" s="120"/>
      <c r="N151" s="120"/>
      <c r="O151" s="120"/>
      <c r="P151" s="120"/>
      <c r="Q151" s="120"/>
    </row>
    <row r="152" spans="3:17" x14ac:dyDescent="0.3">
      <c r="C152" s="196"/>
      <c r="D152" s="197"/>
      <c r="E152" s="196"/>
      <c r="F152" s="120"/>
      <c r="G152" s="120"/>
      <c r="H152" s="120"/>
      <c r="I152" s="120"/>
      <c r="J152" s="120"/>
      <c r="K152" s="120"/>
      <c r="L152" s="120"/>
      <c r="M152" s="120"/>
      <c r="N152" s="120"/>
      <c r="O152" s="120"/>
      <c r="P152" s="120"/>
      <c r="Q152" s="120"/>
    </row>
    <row r="153" spans="3:17" x14ac:dyDescent="0.3">
      <c r="C153" s="196"/>
      <c r="D153" s="197"/>
      <c r="E153" s="196"/>
      <c r="F153" s="120"/>
      <c r="G153" s="120"/>
      <c r="H153" s="120"/>
      <c r="I153" s="120"/>
      <c r="J153" s="120"/>
      <c r="K153" s="120"/>
      <c r="L153" s="120"/>
      <c r="M153" s="120"/>
      <c r="N153" s="120"/>
      <c r="O153" s="120"/>
      <c r="P153" s="120"/>
      <c r="Q153" s="120"/>
    </row>
    <row r="154" spans="3:17" x14ac:dyDescent="0.3">
      <c r="C154" s="196"/>
      <c r="D154" s="197"/>
      <c r="E154" s="196"/>
      <c r="F154" s="120"/>
      <c r="G154" s="120"/>
      <c r="H154" s="120"/>
      <c r="I154" s="120"/>
      <c r="J154" s="120"/>
      <c r="K154" s="120"/>
      <c r="L154" s="120"/>
      <c r="M154" s="120"/>
      <c r="N154" s="120"/>
      <c r="O154" s="120"/>
      <c r="P154" s="120"/>
      <c r="Q154" s="120"/>
    </row>
    <row r="155" spans="3:17" x14ac:dyDescent="0.3">
      <c r="C155" s="196"/>
      <c r="D155" s="197"/>
      <c r="E155" s="196"/>
      <c r="F155" s="120"/>
      <c r="G155" s="120"/>
      <c r="H155" s="120"/>
      <c r="I155" s="120"/>
      <c r="J155" s="120"/>
      <c r="K155" s="120"/>
      <c r="L155" s="120"/>
      <c r="M155" s="120"/>
      <c r="N155" s="120"/>
      <c r="O155" s="120"/>
      <c r="P155" s="120"/>
      <c r="Q155" s="120"/>
    </row>
    <row r="156" spans="3:17" x14ac:dyDescent="0.3">
      <c r="C156" s="196"/>
      <c r="D156" s="197"/>
      <c r="E156" s="196"/>
      <c r="F156" s="120"/>
      <c r="G156" s="120"/>
      <c r="H156" s="120"/>
      <c r="I156" s="120"/>
      <c r="J156" s="120"/>
      <c r="K156" s="120"/>
      <c r="L156" s="120"/>
      <c r="M156" s="120"/>
      <c r="N156" s="120"/>
      <c r="O156" s="120"/>
      <c r="P156" s="120"/>
      <c r="Q156" s="120"/>
    </row>
    <row r="157" spans="3:17" x14ac:dyDescent="0.3">
      <c r="C157" s="196"/>
      <c r="D157" s="197"/>
      <c r="E157" s="196"/>
      <c r="F157" s="120"/>
      <c r="G157" s="120"/>
      <c r="H157" s="120"/>
      <c r="I157" s="120"/>
      <c r="J157" s="120"/>
      <c r="K157" s="120"/>
      <c r="L157" s="120"/>
      <c r="M157" s="120"/>
      <c r="N157" s="120"/>
      <c r="O157" s="120"/>
      <c r="P157" s="120"/>
      <c r="Q157" s="120"/>
    </row>
    <row r="158" spans="3:17" x14ac:dyDescent="0.3">
      <c r="C158" s="196"/>
      <c r="D158" s="197"/>
      <c r="E158" s="196"/>
      <c r="F158" s="120"/>
      <c r="G158" s="120"/>
      <c r="H158" s="120"/>
      <c r="I158" s="120"/>
      <c r="J158" s="120"/>
      <c r="K158" s="120"/>
      <c r="L158" s="120"/>
      <c r="M158" s="120"/>
      <c r="N158" s="120"/>
      <c r="O158" s="120"/>
      <c r="P158" s="120"/>
      <c r="Q158" s="120"/>
    </row>
    <row r="159" spans="3:17" x14ac:dyDescent="0.3">
      <c r="C159" s="196"/>
      <c r="D159" s="197"/>
      <c r="E159" s="196"/>
      <c r="F159" s="120"/>
      <c r="G159" s="120"/>
      <c r="H159" s="120"/>
      <c r="I159" s="120"/>
      <c r="J159" s="120"/>
      <c r="K159" s="120"/>
      <c r="L159" s="120"/>
      <c r="M159" s="120"/>
      <c r="N159" s="120"/>
      <c r="O159" s="120"/>
      <c r="P159" s="120"/>
      <c r="Q159" s="120"/>
    </row>
    <row r="160" spans="3:17" x14ac:dyDescent="0.3">
      <c r="C160" s="196"/>
      <c r="D160" s="197"/>
      <c r="E160" s="196"/>
      <c r="F160" s="120"/>
      <c r="G160" s="120"/>
      <c r="H160" s="120"/>
      <c r="I160" s="120"/>
      <c r="J160" s="120"/>
      <c r="K160" s="120"/>
      <c r="L160" s="120"/>
      <c r="M160" s="120"/>
      <c r="N160" s="120"/>
      <c r="O160" s="120"/>
      <c r="P160" s="120"/>
      <c r="Q160" s="120"/>
    </row>
    <row r="161" spans="3:17" x14ac:dyDescent="0.3">
      <c r="C161" s="196"/>
      <c r="D161" s="197"/>
      <c r="E161" s="196"/>
      <c r="F161" s="120"/>
      <c r="G161" s="120"/>
      <c r="H161" s="120"/>
      <c r="I161" s="120"/>
      <c r="J161" s="120"/>
      <c r="K161" s="120"/>
      <c r="L161" s="120"/>
      <c r="M161" s="120"/>
      <c r="N161" s="120"/>
      <c r="O161" s="120"/>
      <c r="P161" s="120"/>
      <c r="Q161" s="120"/>
    </row>
    <row r="162" spans="3:17" x14ac:dyDescent="0.3">
      <c r="C162" s="196"/>
      <c r="D162" s="197"/>
      <c r="E162" s="196"/>
      <c r="F162" s="120"/>
      <c r="G162" s="120"/>
      <c r="H162" s="120"/>
      <c r="I162" s="120"/>
      <c r="J162" s="120"/>
      <c r="K162" s="120"/>
      <c r="L162" s="120"/>
      <c r="M162" s="120"/>
      <c r="N162" s="120"/>
      <c r="O162" s="120"/>
      <c r="P162" s="120"/>
      <c r="Q162" s="120"/>
    </row>
    <row r="163" spans="3:17" x14ac:dyDescent="0.3">
      <c r="C163" s="196"/>
      <c r="D163" s="197"/>
      <c r="E163" s="196"/>
      <c r="F163" s="120"/>
      <c r="G163" s="120"/>
      <c r="H163" s="120"/>
      <c r="I163" s="120"/>
      <c r="J163" s="120"/>
      <c r="K163" s="120"/>
      <c r="L163" s="120"/>
      <c r="M163" s="120"/>
      <c r="N163" s="120"/>
      <c r="O163" s="120"/>
      <c r="P163" s="120"/>
      <c r="Q163" s="120"/>
    </row>
    <row r="164" spans="3:17" x14ac:dyDescent="0.3">
      <c r="C164" s="196"/>
      <c r="D164" s="197"/>
      <c r="E164" s="196"/>
      <c r="F164" s="120"/>
      <c r="G164" s="120"/>
      <c r="H164" s="120"/>
      <c r="I164" s="120"/>
      <c r="J164" s="120"/>
      <c r="K164" s="120"/>
      <c r="L164" s="120"/>
      <c r="M164" s="120"/>
      <c r="N164" s="120"/>
      <c r="O164" s="120"/>
      <c r="P164" s="120"/>
      <c r="Q164" s="120"/>
    </row>
    <row r="165" spans="3:17" x14ac:dyDescent="0.3">
      <c r="C165" s="196"/>
      <c r="D165" s="197"/>
      <c r="E165" s="196"/>
      <c r="F165" s="120"/>
      <c r="G165" s="120"/>
      <c r="H165" s="120"/>
      <c r="I165" s="120"/>
      <c r="J165" s="120"/>
      <c r="K165" s="120"/>
      <c r="L165" s="120"/>
      <c r="M165" s="120"/>
      <c r="N165" s="120"/>
      <c r="O165" s="120"/>
      <c r="P165" s="120"/>
      <c r="Q165" s="120"/>
    </row>
    <row r="166" spans="3:17" x14ac:dyDescent="0.3">
      <c r="C166" s="196"/>
      <c r="D166" s="197"/>
      <c r="E166" s="196"/>
      <c r="F166" s="120"/>
      <c r="G166" s="120"/>
      <c r="H166" s="120"/>
      <c r="I166" s="120"/>
      <c r="J166" s="120"/>
      <c r="K166" s="120"/>
      <c r="L166" s="120"/>
      <c r="M166" s="120"/>
      <c r="N166" s="120"/>
      <c r="O166" s="120"/>
      <c r="P166" s="120"/>
      <c r="Q166" s="120"/>
    </row>
    <row r="167" spans="3:17" x14ac:dyDescent="0.3">
      <c r="C167" s="196"/>
      <c r="D167" s="197"/>
      <c r="E167" s="196"/>
      <c r="F167" s="120"/>
      <c r="G167" s="120"/>
      <c r="H167" s="120"/>
      <c r="I167" s="120"/>
      <c r="J167" s="120"/>
      <c r="K167" s="120"/>
      <c r="L167" s="120"/>
      <c r="M167" s="120"/>
      <c r="N167" s="120"/>
      <c r="O167" s="120"/>
      <c r="P167" s="120"/>
      <c r="Q167" s="120"/>
    </row>
    <row r="168" spans="3:17" x14ac:dyDescent="0.3">
      <c r="C168" s="196"/>
      <c r="D168" s="197"/>
      <c r="E168" s="196"/>
      <c r="F168" s="120"/>
      <c r="G168" s="120"/>
      <c r="H168" s="120"/>
      <c r="I168" s="120"/>
      <c r="J168" s="120"/>
      <c r="K168" s="120"/>
      <c r="L168" s="120"/>
      <c r="M168" s="120"/>
      <c r="N168" s="120"/>
      <c r="O168" s="120"/>
      <c r="P168" s="120"/>
      <c r="Q168" s="120"/>
    </row>
    <row r="169" spans="3:17" x14ac:dyDescent="0.3">
      <c r="C169" s="196"/>
      <c r="D169" s="197"/>
      <c r="E169" s="196"/>
      <c r="F169" s="120"/>
      <c r="G169" s="120"/>
      <c r="H169" s="120"/>
      <c r="I169" s="120"/>
      <c r="J169" s="120"/>
      <c r="K169" s="120"/>
      <c r="L169" s="120"/>
      <c r="M169" s="120"/>
      <c r="N169" s="120"/>
      <c r="O169" s="120"/>
      <c r="P169" s="120"/>
      <c r="Q169" s="120"/>
    </row>
    <row r="170" spans="3:17" x14ac:dyDescent="0.3">
      <c r="C170" s="196"/>
      <c r="D170" s="197"/>
      <c r="E170" s="196"/>
      <c r="F170" s="120"/>
      <c r="G170" s="120"/>
      <c r="H170" s="120"/>
      <c r="I170" s="120"/>
      <c r="J170" s="120"/>
      <c r="K170" s="120"/>
      <c r="L170" s="120"/>
      <c r="M170" s="120"/>
      <c r="N170" s="120"/>
      <c r="O170" s="120"/>
      <c r="P170" s="120"/>
      <c r="Q170" s="120"/>
    </row>
    <row r="171" spans="3:17" x14ac:dyDescent="0.3">
      <c r="C171" s="196"/>
      <c r="D171" s="197"/>
      <c r="E171" s="196"/>
      <c r="F171" s="120"/>
      <c r="G171" s="120"/>
      <c r="H171" s="120"/>
      <c r="I171" s="120"/>
      <c r="J171" s="120"/>
      <c r="K171" s="120"/>
      <c r="L171" s="120"/>
      <c r="M171" s="120"/>
      <c r="N171" s="120"/>
      <c r="O171" s="120"/>
      <c r="P171" s="120"/>
      <c r="Q171" s="120"/>
    </row>
    <row r="172" spans="3:17" x14ac:dyDescent="0.3">
      <c r="C172" s="196"/>
      <c r="D172" s="197"/>
      <c r="E172" s="196"/>
      <c r="F172" s="120"/>
      <c r="G172" s="120"/>
      <c r="H172" s="120"/>
      <c r="I172" s="120"/>
      <c r="J172" s="120"/>
      <c r="K172" s="120"/>
      <c r="L172" s="120"/>
      <c r="M172" s="120"/>
      <c r="N172" s="120"/>
      <c r="O172" s="120"/>
      <c r="P172" s="120"/>
      <c r="Q172" s="120"/>
    </row>
    <row r="173" spans="3:17" x14ac:dyDescent="0.3">
      <c r="C173" s="196"/>
      <c r="D173" s="197"/>
      <c r="E173" s="196"/>
      <c r="F173" s="120"/>
      <c r="G173" s="120"/>
      <c r="H173" s="120"/>
      <c r="I173" s="120"/>
      <c r="J173" s="120"/>
      <c r="K173" s="120"/>
      <c r="L173" s="120"/>
      <c r="M173" s="120"/>
      <c r="N173" s="120"/>
      <c r="O173" s="120"/>
      <c r="P173" s="120"/>
      <c r="Q173" s="120"/>
    </row>
    <row r="174" spans="3:17" x14ac:dyDescent="0.3">
      <c r="C174" s="196"/>
      <c r="D174" s="197"/>
      <c r="E174" s="196"/>
      <c r="F174" s="120"/>
      <c r="G174" s="120"/>
      <c r="H174" s="120"/>
      <c r="I174" s="120"/>
      <c r="J174" s="120"/>
      <c r="K174" s="120"/>
      <c r="L174" s="120"/>
      <c r="M174" s="120"/>
      <c r="N174" s="120"/>
      <c r="O174" s="120"/>
      <c r="P174" s="120"/>
      <c r="Q174" s="120"/>
    </row>
    <row r="175" spans="3:17" x14ac:dyDescent="0.3">
      <c r="C175" s="196"/>
      <c r="D175" s="197"/>
      <c r="E175" s="196"/>
      <c r="F175" s="120"/>
      <c r="G175" s="120"/>
      <c r="H175" s="120"/>
      <c r="I175" s="120"/>
      <c r="J175" s="120"/>
      <c r="K175" s="120"/>
      <c r="L175" s="120"/>
      <c r="M175" s="120"/>
      <c r="N175" s="120"/>
      <c r="O175" s="120"/>
      <c r="P175" s="120"/>
      <c r="Q175" s="120"/>
    </row>
    <row r="176" spans="3:17" x14ac:dyDescent="0.3">
      <c r="C176" s="196"/>
      <c r="D176" s="197"/>
      <c r="E176" s="196"/>
      <c r="F176" s="120"/>
      <c r="G176" s="120"/>
      <c r="H176" s="120"/>
      <c r="I176" s="120"/>
      <c r="J176" s="120"/>
      <c r="K176" s="120"/>
      <c r="L176" s="120"/>
      <c r="M176" s="120"/>
      <c r="N176" s="120"/>
      <c r="O176" s="120"/>
      <c r="P176" s="120"/>
      <c r="Q176" s="120"/>
    </row>
    <row r="177" spans="3:17" x14ac:dyDescent="0.3">
      <c r="C177" s="196"/>
      <c r="D177" s="197"/>
      <c r="E177" s="196"/>
      <c r="F177" s="120"/>
      <c r="G177" s="120"/>
      <c r="H177" s="120"/>
      <c r="I177" s="120"/>
      <c r="J177" s="120"/>
      <c r="K177" s="120"/>
      <c r="L177" s="120"/>
      <c r="M177" s="120"/>
      <c r="N177" s="120"/>
      <c r="O177" s="120"/>
      <c r="P177" s="120"/>
      <c r="Q177" s="120"/>
    </row>
    <row r="178" spans="3:17" x14ac:dyDescent="0.3">
      <c r="C178" s="196"/>
      <c r="D178" s="197"/>
      <c r="E178" s="196"/>
      <c r="F178" s="120"/>
      <c r="G178" s="120"/>
      <c r="H178" s="120"/>
      <c r="I178" s="120"/>
      <c r="J178" s="120"/>
      <c r="K178" s="120"/>
      <c r="L178" s="120"/>
      <c r="M178" s="120"/>
      <c r="N178" s="120"/>
      <c r="O178" s="120"/>
      <c r="P178" s="120"/>
      <c r="Q178" s="120"/>
    </row>
    <row r="179" spans="3:17" x14ac:dyDescent="0.3">
      <c r="C179" s="196"/>
      <c r="D179" s="197"/>
      <c r="E179" s="196"/>
      <c r="F179" s="120"/>
      <c r="G179" s="120"/>
      <c r="H179" s="120"/>
      <c r="I179" s="120"/>
      <c r="J179" s="120"/>
      <c r="K179" s="120"/>
      <c r="L179" s="120"/>
      <c r="M179" s="120"/>
      <c r="N179" s="120"/>
      <c r="O179" s="120"/>
      <c r="P179" s="120"/>
      <c r="Q179" s="120"/>
    </row>
    <row r="180" spans="3:17" x14ac:dyDescent="0.3">
      <c r="C180" s="196"/>
      <c r="D180" s="197"/>
      <c r="E180" s="196"/>
      <c r="F180" s="120"/>
      <c r="G180" s="120"/>
      <c r="H180" s="120"/>
      <c r="I180" s="120"/>
      <c r="J180" s="120"/>
      <c r="K180" s="120"/>
      <c r="L180" s="120"/>
      <c r="M180" s="120"/>
      <c r="N180" s="120"/>
      <c r="O180" s="120"/>
      <c r="P180" s="120"/>
      <c r="Q180" s="120"/>
    </row>
    <row r="181" spans="3:17" x14ac:dyDescent="0.3">
      <c r="C181" s="196"/>
      <c r="D181" s="197"/>
      <c r="E181" s="196"/>
      <c r="F181" s="120"/>
      <c r="G181" s="120"/>
      <c r="H181" s="120"/>
      <c r="I181" s="120"/>
      <c r="J181" s="120"/>
      <c r="K181" s="120"/>
      <c r="L181" s="120"/>
      <c r="M181" s="120"/>
      <c r="N181" s="120"/>
      <c r="O181" s="120"/>
      <c r="P181" s="120"/>
      <c r="Q181" s="120"/>
    </row>
    <row r="182" spans="3:17" x14ac:dyDescent="0.3">
      <c r="C182" s="196"/>
      <c r="D182" s="197"/>
      <c r="E182" s="196"/>
      <c r="F182" s="120"/>
      <c r="G182" s="120"/>
      <c r="H182" s="120"/>
      <c r="I182" s="120"/>
      <c r="J182" s="120"/>
      <c r="K182" s="120"/>
      <c r="L182" s="120"/>
      <c r="M182" s="120"/>
      <c r="N182" s="120"/>
      <c r="O182" s="120"/>
      <c r="P182" s="120"/>
      <c r="Q182" s="120"/>
    </row>
    <row r="183" spans="3:17" x14ac:dyDescent="0.3">
      <c r="C183" s="196"/>
      <c r="D183" s="197"/>
      <c r="E183" s="196"/>
      <c r="F183" s="120"/>
      <c r="G183" s="120"/>
      <c r="H183" s="120"/>
      <c r="I183" s="120"/>
      <c r="J183" s="120"/>
      <c r="K183" s="120"/>
      <c r="L183" s="120"/>
      <c r="M183" s="120"/>
      <c r="N183" s="120"/>
      <c r="O183" s="120"/>
      <c r="P183" s="120"/>
      <c r="Q183" s="120"/>
    </row>
    <row r="184" spans="3:17" x14ac:dyDescent="0.3">
      <c r="C184" s="196"/>
      <c r="D184" s="197"/>
      <c r="E184" s="196"/>
      <c r="F184" s="120"/>
      <c r="G184" s="120"/>
      <c r="H184" s="120"/>
      <c r="I184" s="120"/>
      <c r="J184" s="120"/>
      <c r="K184" s="120"/>
      <c r="L184" s="120"/>
      <c r="M184" s="120"/>
      <c r="N184" s="120"/>
      <c r="O184" s="120"/>
      <c r="P184" s="120"/>
      <c r="Q184" s="120"/>
    </row>
    <row r="185" spans="3:17" x14ac:dyDescent="0.3">
      <c r="C185" s="196"/>
      <c r="D185" s="197"/>
      <c r="E185" s="196"/>
      <c r="F185" s="120"/>
      <c r="G185" s="120"/>
      <c r="H185" s="120"/>
      <c r="I185" s="120"/>
      <c r="J185" s="120"/>
      <c r="K185" s="120"/>
      <c r="L185" s="120"/>
      <c r="M185" s="120"/>
      <c r="N185" s="120"/>
      <c r="O185" s="120"/>
      <c r="P185" s="120"/>
      <c r="Q185" s="120"/>
    </row>
    <row r="186" spans="3:17" x14ac:dyDescent="0.3">
      <c r="C186" s="196"/>
      <c r="D186" s="197"/>
      <c r="E186" s="196"/>
      <c r="F186" s="120"/>
      <c r="G186" s="120"/>
      <c r="H186" s="120"/>
      <c r="I186" s="120"/>
      <c r="J186" s="120"/>
      <c r="K186" s="120"/>
      <c r="L186" s="120"/>
      <c r="M186" s="120"/>
      <c r="N186" s="120"/>
      <c r="O186" s="120"/>
      <c r="P186" s="120"/>
      <c r="Q186" s="120"/>
    </row>
    <row r="187" spans="3:17" x14ac:dyDescent="0.3">
      <c r="C187" s="196"/>
      <c r="D187" s="197"/>
      <c r="E187" s="196"/>
      <c r="F187" s="120"/>
      <c r="G187" s="120"/>
      <c r="H187" s="120"/>
      <c r="I187" s="120"/>
      <c r="J187" s="120"/>
      <c r="K187" s="120"/>
      <c r="L187" s="120"/>
      <c r="M187" s="120"/>
      <c r="N187" s="120"/>
      <c r="O187" s="120"/>
      <c r="P187" s="120"/>
      <c r="Q187" s="120"/>
    </row>
    <row r="188" spans="3:17" x14ac:dyDescent="0.3">
      <c r="C188" s="196"/>
      <c r="D188" s="197"/>
      <c r="E188" s="196"/>
      <c r="F188" s="120"/>
      <c r="G188" s="120"/>
      <c r="H188" s="120"/>
      <c r="I188" s="120"/>
      <c r="J188" s="120"/>
      <c r="K188" s="120"/>
      <c r="L188" s="120"/>
      <c r="M188" s="120"/>
      <c r="N188" s="120"/>
      <c r="O188" s="120"/>
      <c r="P188" s="120"/>
      <c r="Q188" s="120"/>
    </row>
    <row r="189" spans="3:17" x14ac:dyDescent="0.3">
      <c r="C189" s="109"/>
      <c r="D189" s="198"/>
      <c r="E189" s="109"/>
      <c r="F189" s="160"/>
      <c r="G189" s="160"/>
      <c r="H189" s="160"/>
      <c r="I189" s="160"/>
      <c r="J189" s="160"/>
      <c r="K189" s="160"/>
      <c r="L189" s="160"/>
      <c r="M189" s="160"/>
      <c r="N189" s="160"/>
      <c r="O189" s="160"/>
      <c r="P189" s="160"/>
      <c r="Q189" s="160"/>
    </row>
    <row r="190" spans="3:17" x14ac:dyDescent="0.3">
      <c r="C190" s="196"/>
      <c r="D190" s="197"/>
      <c r="E190" s="196"/>
      <c r="F190" s="120"/>
      <c r="G190" s="120"/>
      <c r="H190" s="120"/>
      <c r="I190" s="120"/>
      <c r="J190" s="120"/>
      <c r="K190" s="120"/>
      <c r="L190" s="120"/>
      <c r="M190" s="120"/>
      <c r="N190" s="120"/>
      <c r="O190" s="120"/>
      <c r="P190" s="120"/>
      <c r="Q190" s="120"/>
    </row>
    <row r="191" spans="3:17" x14ac:dyDescent="0.3">
      <c r="C191" s="196"/>
      <c r="D191" s="197"/>
      <c r="E191" s="196"/>
      <c r="F191" s="120"/>
      <c r="G191" s="120"/>
      <c r="H191" s="120"/>
      <c r="I191" s="120"/>
      <c r="J191" s="120"/>
      <c r="K191" s="120"/>
      <c r="L191" s="120"/>
      <c r="M191" s="120"/>
      <c r="N191" s="120"/>
      <c r="O191" s="120"/>
      <c r="P191" s="120"/>
      <c r="Q191" s="120"/>
    </row>
    <row r="192" spans="3:17" x14ac:dyDescent="0.3">
      <c r="C192" s="196"/>
      <c r="D192" s="197"/>
      <c r="E192" s="196"/>
      <c r="F192" s="120"/>
      <c r="G192" s="120"/>
      <c r="H192" s="120"/>
      <c r="I192" s="120"/>
      <c r="J192" s="120"/>
      <c r="K192" s="120"/>
      <c r="L192" s="120"/>
      <c r="M192" s="120"/>
      <c r="N192" s="120"/>
      <c r="O192" s="120"/>
      <c r="P192" s="120"/>
      <c r="Q192" s="120"/>
    </row>
    <row r="193" spans="3:17" x14ac:dyDescent="0.3">
      <c r="C193" s="196"/>
      <c r="D193" s="197"/>
      <c r="E193" s="196"/>
      <c r="F193" s="120"/>
      <c r="G193" s="120"/>
      <c r="H193" s="120"/>
      <c r="I193" s="120"/>
      <c r="J193" s="120"/>
      <c r="K193" s="120"/>
      <c r="L193" s="120"/>
      <c r="M193" s="120"/>
      <c r="N193" s="120"/>
      <c r="O193" s="120"/>
      <c r="P193" s="120"/>
      <c r="Q193" s="120"/>
    </row>
    <row r="194" spans="3:17" x14ac:dyDescent="0.3">
      <c r="C194" s="196"/>
      <c r="D194" s="197"/>
      <c r="E194" s="196"/>
      <c r="F194" s="120"/>
      <c r="G194" s="120"/>
      <c r="H194" s="120"/>
      <c r="I194" s="120"/>
      <c r="J194" s="120"/>
      <c r="K194" s="120"/>
      <c r="L194" s="120"/>
      <c r="M194" s="120"/>
      <c r="N194" s="120"/>
      <c r="O194" s="120"/>
      <c r="P194" s="120"/>
      <c r="Q194" s="120"/>
    </row>
    <row r="195" spans="3:17" x14ac:dyDescent="0.3">
      <c r="C195" s="196"/>
      <c r="D195" s="197"/>
      <c r="E195" s="196"/>
      <c r="F195" s="120"/>
      <c r="G195" s="120"/>
      <c r="H195" s="120"/>
      <c r="I195" s="120"/>
      <c r="J195" s="120"/>
      <c r="K195" s="120"/>
      <c r="L195" s="120"/>
      <c r="M195" s="120"/>
      <c r="N195" s="120"/>
      <c r="O195" s="120"/>
      <c r="P195" s="120"/>
      <c r="Q195" s="120"/>
    </row>
    <row r="196" spans="3:17" x14ac:dyDescent="0.3">
      <c r="C196" s="196"/>
      <c r="D196" s="197"/>
      <c r="E196" s="196"/>
      <c r="F196" s="120"/>
      <c r="G196" s="120"/>
      <c r="H196" s="120"/>
      <c r="I196" s="120"/>
      <c r="J196" s="120"/>
      <c r="K196" s="120"/>
      <c r="L196" s="120"/>
      <c r="M196" s="120"/>
      <c r="N196" s="120"/>
      <c r="O196" s="120"/>
      <c r="P196" s="120"/>
      <c r="Q196" s="120"/>
    </row>
    <row r="197" spans="3:17" x14ac:dyDescent="0.3">
      <c r="C197" s="196"/>
      <c r="D197" s="197"/>
      <c r="E197" s="196"/>
      <c r="F197" s="120"/>
      <c r="G197" s="120"/>
      <c r="H197" s="120"/>
      <c r="I197" s="120"/>
      <c r="J197" s="120"/>
      <c r="K197" s="120"/>
      <c r="L197" s="120"/>
      <c r="M197" s="120"/>
      <c r="N197" s="120"/>
      <c r="O197" s="120"/>
      <c r="P197" s="120"/>
      <c r="Q197" s="120"/>
    </row>
    <row r="198" spans="3:17" x14ac:dyDescent="0.3">
      <c r="C198" s="196"/>
      <c r="D198" s="197"/>
      <c r="E198" s="196"/>
      <c r="F198" s="120"/>
      <c r="G198" s="120"/>
      <c r="H198" s="120"/>
      <c r="I198" s="120"/>
      <c r="J198" s="120"/>
      <c r="K198" s="120"/>
      <c r="L198" s="120"/>
      <c r="M198" s="120"/>
      <c r="N198" s="120"/>
      <c r="O198" s="120"/>
      <c r="P198" s="120"/>
      <c r="Q198" s="120"/>
    </row>
    <row r="199" spans="3:17" x14ac:dyDescent="0.3">
      <c r="C199" s="196"/>
      <c r="D199" s="197"/>
      <c r="E199" s="196"/>
      <c r="F199" s="120"/>
      <c r="G199" s="120"/>
      <c r="H199" s="120"/>
      <c r="I199" s="120"/>
      <c r="J199" s="120"/>
      <c r="K199" s="120"/>
      <c r="L199" s="120"/>
      <c r="M199" s="120"/>
      <c r="N199" s="120"/>
      <c r="O199" s="120"/>
      <c r="P199" s="120"/>
      <c r="Q199" s="120"/>
    </row>
    <row r="200" spans="3:17" x14ac:dyDescent="0.3">
      <c r="C200" s="196"/>
      <c r="D200" s="197"/>
      <c r="E200" s="196"/>
      <c r="F200" s="120"/>
      <c r="G200" s="120"/>
      <c r="H200" s="120"/>
      <c r="I200" s="120"/>
      <c r="J200" s="120"/>
      <c r="K200" s="120"/>
      <c r="L200" s="120"/>
      <c r="M200" s="120"/>
      <c r="N200" s="120"/>
      <c r="O200" s="120"/>
      <c r="P200" s="120"/>
      <c r="Q200" s="120"/>
    </row>
    <row r="201" spans="3:17" x14ac:dyDescent="0.3">
      <c r="C201" s="196"/>
      <c r="D201" s="197"/>
      <c r="E201" s="196"/>
      <c r="F201" s="120"/>
      <c r="G201" s="120"/>
      <c r="H201" s="120"/>
      <c r="I201" s="120"/>
      <c r="J201" s="120"/>
      <c r="K201" s="120"/>
      <c r="L201" s="120"/>
      <c r="M201" s="120"/>
      <c r="N201" s="120"/>
      <c r="O201" s="120"/>
      <c r="P201" s="120"/>
      <c r="Q201" s="120"/>
    </row>
    <row r="202" spans="3:17" x14ac:dyDescent="0.3">
      <c r="C202" s="196"/>
      <c r="D202" s="197"/>
      <c r="E202" s="196"/>
      <c r="F202" s="120"/>
      <c r="G202" s="120"/>
      <c r="H202" s="120"/>
      <c r="I202" s="120"/>
      <c r="J202" s="120"/>
      <c r="K202" s="120"/>
      <c r="L202" s="120"/>
      <c r="M202" s="120"/>
      <c r="N202" s="120"/>
      <c r="O202" s="120"/>
      <c r="P202" s="120"/>
      <c r="Q202" s="120"/>
    </row>
    <row r="203" spans="3:17" x14ac:dyDescent="0.3">
      <c r="C203" s="196"/>
      <c r="D203" s="197"/>
      <c r="E203" s="196"/>
      <c r="F203" s="120"/>
      <c r="G203" s="120"/>
      <c r="H203" s="120"/>
      <c r="I203" s="120"/>
      <c r="J203" s="120"/>
      <c r="K203" s="120"/>
      <c r="L203" s="120"/>
      <c r="M203" s="120"/>
      <c r="N203" s="120"/>
      <c r="O203" s="120"/>
      <c r="P203" s="120"/>
      <c r="Q203" s="120"/>
    </row>
    <row r="204" spans="3:17" x14ac:dyDescent="0.3">
      <c r="C204" s="196"/>
      <c r="D204" s="197"/>
      <c r="E204" s="196"/>
      <c r="F204" s="120"/>
      <c r="G204" s="120"/>
      <c r="H204" s="120"/>
      <c r="I204" s="120"/>
      <c r="J204" s="120"/>
      <c r="K204" s="120"/>
      <c r="L204" s="120"/>
      <c r="M204" s="120"/>
      <c r="N204" s="120"/>
      <c r="O204" s="120"/>
      <c r="P204" s="120"/>
      <c r="Q204" s="120"/>
    </row>
    <row r="205" spans="3:17" x14ac:dyDescent="0.3">
      <c r="C205" s="196"/>
      <c r="D205" s="197"/>
      <c r="E205" s="196"/>
      <c r="F205" s="120"/>
      <c r="G205" s="120"/>
      <c r="H205" s="120"/>
      <c r="I205" s="120"/>
      <c r="J205" s="120"/>
      <c r="K205" s="120"/>
      <c r="L205" s="120"/>
      <c r="M205" s="120"/>
      <c r="N205" s="120"/>
      <c r="O205" s="120"/>
      <c r="P205" s="120"/>
      <c r="Q205" s="120"/>
    </row>
    <row r="206" spans="3:17" x14ac:dyDescent="0.3">
      <c r="C206" s="196"/>
      <c r="D206" s="197"/>
      <c r="E206" s="196"/>
      <c r="F206" s="120"/>
      <c r="G206" s="120"/>
      <c r="H206" s="120"/>
      <c r="I206" s="120"/>
      <c r="J206" s="120"/>
      <c r="K206" s="120"/>
      <c r="L206" s="120"/>
      <c r="M206" s="120"/>
      <c r="N206" s="120"/>
      <c r="O206" s="120"/>
      <c r="P206" s="120"/>
      <c r="Q206" s="120"/>
    </row>
    <row r="207" spans="3:17" x14ac:dyDescent="0.3">
      <c r="C207" s="196"/>
      <c r="D207" s="197"/>
      <c r="E207" s="196"/>
      <c r="F207" s="120"/>
      <c r="G207" s="120"/>
      <c r="H207" s="120"/>
      <c r="I207" s="120"/>
      <c r="J207" s="120"/>
      <c r="K207" s="120"/>
      <c r="L207" s="120"/>
      <c r="M207" s="120"/>
      <c r="N207" s="120"/>
      <c r="O207" s="120"/>
      <c r="P207" s="120"/>
      <c r="Q207" s="120"/>
    </row>
    <row r="208" spans="3:17" x14ac:dyDescent="0.3">
      <c r="C208" s="196"/>
      <c r="D208" s="197"/>
      <c r="E208" s="196"/>
      <c r="F208" s="120"/>
      <c r="G208" s="120"/>
      <c r="H208" s="120"/>
      <c r="I208" s="120"/>
      <c r="J208" s="120"/>
      <c r="K208" s="120"/>
      <c r="L208" s="120"/>
      <c r="M208" s="120"/>
      <c r="N208" s="120"/>
      <c r="O208" s="120"/>
      <c r="P208" s="120"/>
      <c r="Q208" s="120"/>
    </row>
    <row r="209" spans="3:17" x14ac:dyDescent="0.3">
      <c r="C209" s="196"/>
      <c r="D209" s="197"/>
      <c r="E209" s="196"/>
      <c r="F209" s="120"/>
      <c r="G209" s="120"/>
      <c r="H209" s="120"/>
      <c r="I209" s="120"/>
      <c r="J209" s="120"/>
      <c r="K209" s="120"/>
      <c r="L209" s="120"/>
      <c r="M209" s="120"/>
      <c r="N209" s="120"/>
      <c r="O209" s="120"/>
      <c r="P209" s="120"/>
      <c r="Q209" s="120"/>
    </row>
    <row r="210" spans="3:17" x14ac:dyDescent="0.3">
      <c r="C210" s="196"/>
      <c r="D210" s="197"/>
      <c r="E210" s="196"/>
      <c r="F210" s="120"/>
      <c r="G210" s="120"/>
      <c r="H210" s="120"/>
      <c r="I210" s="120"/>
      <c r="J210" s="120"/>
      <c r="K210" s="120"/>
      <c r="L210" s="120"/>
      <c r="M210" s="120"/>
      <c r="N210" s="120"/>
      <c r="O210" s="120"/>
      <c r="P210" s="120"/>
      <c r="Q210" s="120"/>
    </row>
    <row r="211" spans="3:17" x14ac:dyDescent="0.3">
      <c r="C211" s="196"/>
      <c r="D211" s="197"/>
      <c r="E211" s="196"/>
      <c r="F211" s="120"/>
      <c r="G211" s="120"/>
      <c r="H211" s="120"/>
      <c r="I211" s="120"/>
      <c r="J211" s="120"/>
      <c r="K211" s="120"/>
      <c r="L211" s="120"/>
      <c r="M211" s="120"/>
      <c r="N211" s="120"/>
      <c r="O211" s="120"/>
      <c r="P211" s="120"/>
      <c r="Q211" s="120"/>
    </row>
    <row r="212" spans="3:17" x14ac:dyDescent="0.3">
      <c r="C212" s="196"/>
      <c r="D212" s="197"/>
      <c r="E212" s="196"/>
      <c r="F212" s="120"/>
      <c r="G212" s="120"/>
      <c r="H212" s="120"/>
      <c r="I212" s="120"/>
      <c r="J212" s="120"/>
      <c r="K212" s="120"/>
      <c r="L212" s="120"/>
      <c r="M212" s="120"/>
      <c r="N212" s="120"/>
      <c r="O212" s="120"/>
      <c r="P212" s="120"/>
      <c r="Q212" s="120"/>
    </row>
    <row r="213" spans="3:17" x14ac:dyDescent="0.3">
      <c r="C213" s="196"/>
      <c r="D213" s="197"/>
      <c r="E213" s="196"/>
      <c r="F213" s="120"/>
      <c r="G213" s="120"/>
      <c r="H213" s="120"/>
      <c r="I213" s="120"/>
      <c r="J213" s="120"/>
      <c r="K213" s="120"/>
      <c r="L213" s="120"/>
      <c r="M213" s="120"/>
      <c r="N213" s="120"/>
      <c r="O213" s="120"/>
      <c r="P213" s="120"/>
      <c r="Q213" s="120"/>
    </row>
    <row r="214" spans="3:17" x14ac:dyDescent="0.3">
      <c r="C214" s="196"/>
      <c r="D214" s="197"/>
      <c r="E214" s="196"/>
      <c r="F214" s="120"/>
      <c r="G214" s="120"/>
      <c r="H214" s="120"/>
      <c r="I214" s="120"/>
      <c r="J214" s="120"/>
      <c r="K214" s="120"/>
      <c r="L214" s="120"/>
      <c r="M214" s="120"/>
      <c r="N214" s="120"/>
      <c r="O214" s="120"/>
      <c r="P214" s="120"/>
      <c r="Q214" s="120"/>
    </row>
    <row r="215" spans="3:17" x14ac:dyDescent="0.3">
      <c r="C215" s="196"/>
      <c r="D215" s="197"/>
      <c r="E215" s="196"/>
      <c r="F215" s="120"/>
      <c r="G215" s="120"/>
      <c r="H215" s="120"/>
      <c r="I215" s="120"/>
      <c r="J215" s="120"/>
      <c r="K215" s="120"/>
      <c r="L215" s="120"/>
      <c r="M215" s="120"/>
      <c r="N215" s="120"/>
      <c r="O215" s="120"/>
      <c r="P215" s="120"/>
      <c r="Q215" s="120"/>
    </row>
    <row r="216" spans="3:17" x14ac:dyDescent="0.3">
      <c r="C216" s="196"/>
      <c r="D216" s="197"/>
      <c r="E216" s="196"/>
      <c r="F216" s="120"/>
      <c r="G216" s="120"/>
      <c r="H216" s="120"/>
      <c r="I216" s="120"/>
      <c r="J216" s="120"/>
      <c r="K216" s="120"/>
      <c r="L216" s="120"/>
      <c r="M216" s="120"/>
      <c r="N216" s="120"/>
      <c r="O216" s="120"/>
      <c r="P216" s="120"/>
      <c r="Q216" s="120"/>
    </row>
    <row r="217" spans="3:17" x14ac:dyDescent="0.3">
      <c r="C217" s="196"/>
      <c r="D217" s="197"/>
      <c r="E217" s="196"/>
      <c r="F217" s="120"/>
      <c r="G217" s="120"/>
      <c r="H217" s="120"/>
      <c r="I217" s="120"/>
      <c r="J217" s="120"/>
      <c r="K217" s="120"/>
      <c r="L217" s="120"/>
      <c r="M217" s="120"/>
      <c r="N217" s="120"/>
      <c r="O217" s="120"/>
      <c r="P217" s="120"/>
      <c r="Q217" s="120"/>
    </row>
    <row r="218" spans="3:17" x14ac:dyDescent="0.3">
      <c r="C218" s="196"/>
      <c r="D218" s="197"/>
      <c r="E218" s="196"/>
      <c r="F218" s="120"/>
      <c r="G218" s="120"/>
      <c r="H218" s="120"/>
      <c r="I218" s="120"/>
      <c r="J218" s="120"/>
      <c r="K218" s="120"/>
      <c r="L218" s="120"/>
      <c r="M218" s="120"/>
      <c r="N218" s="120"/>
      <c r="O218" s="120"/>
      <c r="P218" s="120"/>
      <c r="Q218" s="120"/>
    </row>
    <row r="219" spans="3:17" x14ac:dyDescent="0.3">
      <c r="C219" s="196"/>
      <c r="D219" s="197"/>
      <c r="E219" s="196"/>
      <c r="F219" s="120"/>
      <c r="G219" s="120"/>
      <c r="H219" s="120"/>
      <c r="I219" s="120"/>
      <c r="J219" s="120"/>
      <c r="K219" s="120"/>
      <c r="L219" s="120"/>
      <c r="M219" s="120"/>
      <c r="N219" s="120"/>
      <c r="O219" s="120"/>
      <c r="P219" s="120"/>
      <c r="Q219" s="120"/>
    </row>
    <row r="220" spans="3:17" x14ac:dyDescent="0.3">
      <c r="C220" s="196"/>
      <c r="D220" s="197"/>
      <c r="E220" s="196"/>
      <c r="F220" s="120"/>
      <c r="G220" s="120"/>
      <c r="H220" s="120"/>
      <c r="I220" s="120"/>
      <c r="J220" s="120"/>
      <c r="K220" s="120"/>
      <c r="L220" s="120"/>
      <c r="M220" s="120"/>
      <c r="N220" s="120"/>
      <c r="O220" s="120"/>
      <c r="P220" s="120"/>
      <c r="Q220" s="120"/>
    </row>
    <row r="221" spans="3:17" x14ac:dyDescent="0.3">
      <c r="C221" s="196"/>
      <c r="D221" s="197"/>
      <c r="E221" s="196"/>
      <c r="F221" s="120"/>
      <c r="G221" s="120"/>
      <c r="H221" s="120"/>
      <c r="I221" s="120"/>
      <c r="J221" s="120"/>
      <c r="K221" s="120"/>
      <c r="L221" s="120"/>
      <c r="M221" s="120"/>
      <c r="N221" s="120"/>
      <c r="O221" s="120"/>
      <c r="P221" s="120"/>
      <c r="Q221" s="120"/>
    </row>
    <row r="222" spans="3:17" x14ac:dyDescent="0.3">
      <c r="C222" s="196"/>
      <c r="D222" s="197"/>
      <c r="E222" s="196"/>
      <c r="F222" s="120"/>
      <c r="G222" s="120"/>
      <c r="H222" s="120"/>
      <c r="I222" s="120"/>
      <c r="J222" s="120"/>
      <c r="K222" s="120"/>
      <c r="L222" s="120"/>
      <c r="M222" s="120"/>
      <c r="N222" s="120"/>
      <c r="O222" s="120"/>
      <c r="P222" s="120"/>
      <c r="Q222" s="120"/>
    </row>
    <row r="223" spans="3:17" x14ac:dyDescent="0.3">
      <c r="C223" s="196"/>
      <c r="D223" s="197"/>
      <c r="E223" s="196"/>
      <c r="F223" s="120"/>
      <c r="G223" s="120"/>
      <c r="H223" s="120"/>
      <c r="I223" s="120"/>
      <c r="J223" s="120"/>
      <c r="K223" s="120"/>
      <c r="L223" s="120"/>
      <c r="M223" s="120"/>
      <c r="N223" s="120"/>
      <c r="O223" s="120"/>
      <c r="P223" s="120"/>
      <c r="Q223" s="120"/>
    </row>
    <row r="224" spans="3:17" x14ac:dyDescent="0.3">
      <c r="C224" s="196"/>
      <c r="D224" s="197"/>
      <c r="E224" s="196"/>
      <c r="F224" s="120"/>
      <c r="G224" s="120"/>
      <c r="H224" s="120"/>
      <c r="I224" s="120"/>
      <c r="J224" s="120"/>
      <c r="K224" s="120"/>
      <c r="L224" s="120"/>
      <c r="M224" s="120"/>
      <c r="N224" s="120"/>
      <c r="O224" s="120"/>
      <c r="P224" s="120"/>
      <c r="Q224" s="120"/>
    </row>
    <row r="225" spans="3:17" x14ac:dyDescent="0.3">
      <c r="C225" s="196"/>
      <c r="D225" s="197"/>
      <c r="E225" s="196"/>
      <c r="F225" s="120"/>
      <c r="G225" s="120"/>
      <c r="H225" s="120"/>
      <c r="I225" s="120"/>
      <c r="J225" s="120"/>
      <c r="K225" s="120"/>
      <c r="L225" s="120"/>
      <c r="M225" s="120"/>
      <c r="N225" s="120"/>
      <c r="O225" s="120"/>
      <c r="P225" s="120"/>
      <c r="Q225" s="120"/>
    </row>
    <row r="226" spans="3:17" x14ac:dyDescent="0.3">
      <c r="C226" s="196"/>
      <c r="D226" s="197"/>
      <c r="E226" s="196"/>
      <c r="F226" s="120"/>
      <c r="G226" s="120"/>
      <c r="H226" s="120"/>
      <c r="I226" s="120"/>
      <c r="J226" s="120"/>
      <c r="K226" s="120"/>
      <c r="L226" s="120"/>
      <c r="M226" s="120"/>
      <c r="N226" s="120"/>
      <c r="O226" s="120"/>
      <c r="P226" s="120"/>
      <c r="Q226" s="120"/>
    </row>
    <row r="227" spans="3:17" x14ac:dyDescent="0.3">
      <c r="C227" s="196"/>
      <c r="D227" s="197"/>
      <c r="E227" s="196"/>
      <c r="F227" s="120"/>
      <c r="G227" s="120"/>
      <c r="H227" s="120"/>
      <c r="I227" s="120"/>
      <c r="J227" s="120"/>
      <c r="K227" s="120"/>
      <c r="L227" s="120"/>
      <c r="M227" s="120"/>
      <c r="N227" s="120"/>
      <c r="O227" s="120"/>
      <c r="P227" s="120"/>
      <c r="Q227" s="120"/>
    </row>
    <row r="228" spans="3:17" x14ac:dyDescent="0.3">
      <c r="C228" s="196"/>
      <c r="D228" s="197"/>
      <c r="E228" s="196"/>
      <c r="F228" s="120"/>
      <c r="G228" s="120"/>
      <c r="H228" s="120"/>
      <c r="I228" s="120"/>
      <c r="J228" s="120"/>
      <c r="K228" s="120"/>
      <c r="L228" s="120"/>
      <c r="M228" s="120"/>
      <c r="N228" s="120"/>
      <c r="O228" s="120"/>
      <c r="P228" s="120"/>
      <c r="Q228" s="120"/>
    </row>
    <row r="229" spans="3:17" x14ac:dyDescent="0.3">
      <c r="C229" s="196"/>
      <c r="D229" s="197"/>
      <c r="E229" s="196"/>
      <c r="F229" s="120"/>
      <c r="G229" s="120"/>
      <c r="H229" s="120"/>
      <c r="I229" s="120"/>
      <c r="J229" s="120"/>
      <c r="K229" s="120"/>
      <c r="L229" s="120"/>
      <c r="M229" s="120"/>
      <c r="N229" s="120"/>
      <c r="O229" s="120"/>
      <c r="P229" s="120"/>
      <c r="Q229" s="120"/>
    </row>
    <row r="230" spans="3:17" x14ac:dyDescent="0.3">
      <c r="C230" s="196"/>
      <c r="D230" s="197"/>
      <c r="E230" s="196"/>
      <c r="F230" s="120"/>
      <c r="G230" s="120"/>
      <c r="H230" s="120"/>
      <c r="I230" s="120"/>
      <c r="J230" s="120"/>
      <c r="K230" s="120"/>
      <c r="L230" s="120"/>
      <c r="M230" s="120"/>
      <c r="N230" s="120"/>
      <c r="O230" s="120"/>
      <c r="P230" s="120"/>
      <c r="Q230" s="120"/>
    </row>
    <row r="231" spans="3:17" x14ac:dyDescent="0.3">
      <c r="C231" s="196"/>
      <c r="D231" s="197"/>
      <c r="E231" s="196"/>
      <c r="F231" s="120"/>
      <c r="G231" s="120"/>
      <c r="H231" s="120"/>
      <c r="I231" s="120"/>
      <c r="J231" s="120"/>
      <c r="K231" s="120"/>
      <c r="L231" s="120"/>
      <c r="M231" s="120"/>
      <c r="N231" s="120"/>
      <c r="O231" s="120"/>
      <c r="P231" s="120"/>
      <c r="Q231" s="120"/>
    </row>
    <row r="232" spans="3:17" x14ac:dyDescent="0.3">
      <c r="C232" s="196"/>
      <c r="D232" s="197"/>
      <c r="E232" s="196"/>
      <c r="F232" s="120"/>
      <c r="G232" s="120"/>
      <c r="H232" s="120"/>
      <c r="I232" s="120"/>
      <c r="J232" s="120"/>
      <c r="K232" s="120"/>
      <c r="L232" s="120"/>
      <c r="M232" s="120"/>
      <c r="N232" s="120"/>
      <c r="O232" s="120"/>
      <c r="P232" s="120"/>
      <c r="Q232" s="120"/>
    </row>
    <row r="233" spans="3:17" x14ac:dyDescent="0.3">
      <c r="C233" s="196"/>
      <c r="D233" s="197"/>
      <c r="E233" s="196"/>
      <c r="F233" s="120"/>
      <c r="G233" s="120"/>
      <c r="H233" s="120"/>
      <c r="I233" s="120"/>
      <c r="J233" s="120"/>
      <c r="K233" s="120"/>
      <c r="L233" s="120"/>
      <c r="M233" s="120"/>
      <c r="N233" s="120"/>
      <c r="O233" s="120"/>
      <c r="P233" s="120"/>
      <c r="Q233" s="120"/>
    </row>
    <row r="234" spans="3:17" x14ac:dyDescent="0.3">
      <c r="C234" s="196"/>
      <c r="D234" s="197"/>
      <c r="E234" s="196"/>
      <c r="F234" s="120"/>
      <c r="G234" s="120"/>
      <c r="H234" s="120"/>
      <c r="I234" s="120"/>
      <c r="J234" s="120"/>
      <c r="K234" s="120"/>
      <c r="L234" s="120"/>
      <c r="M234" s="120"/>
      <c r="N234" s="120"/>
      <c r="O234" s="120"/>
      <c r="P234" s="120"/>
      <c r="Q234" s="120"/>
    </row>
    <row r="235" spans="3:17" x14ac:dyDescent="0.3">
      <c r="C235" s="196"/>
      <c r="D235" s="197"/>
      <c r="E235" s="196"/>
      <c r="F235" s="120"/>
      <c r="G235" s="120"/>
      <c r="H235" s="120"/>
      <c r="I235" s="120"/>
      <c r="J235" s="120"/>
      <c r="K235" s="120"/>
      <c r="L235" s="120"/>
      <c r="M235" s="120"/>
      <c r="N235" s="120"/>
      <c r="O235" s="120"/>
      <c r="P235" s="120"/>
      <c r="Q235" s="120"/>
    </row>
    <row r="236" spans="3:17" x14ac:dyDescent="0.3">
      <c r="C236" s="196"/>
      <c r="D236" s="197"/>
      <c r="E236" s="196"/>
      <c r="F236" s="120"/>
      <c r="G236" s="120"/>
      <c r="H236" s="120"/>
      <c r="I236" s="120"/>
      <c r="J236" s="120"/>
      <c r="K236" s="120"/>
      <c r="L236" s="120"/>
      <c r="M236" s="120"/>
      <c r="N236" s="120"/>
      <c r="O236" s="120"/>
      <c r="P236" s="120"/>
      <c r="Q236" s="120"/>
    </row>
    <row r="237" spans="3:17" x14ac:dyDescent="0.3">
      <c r="C237" s="196"/>
      <c r="D237" s="197"/>
      <c r="E237" s="196"/>
      <c r="F237" s="120"/>
      <c r="G237" s="120"/>
      <c r="H237" s="120"/>
      <c r="I237" s="120"/>
      <c r="J237" s="120"/>
      <c r="K237" s="120"/>
      <c r="L237" s="120"/>
      <c r="M237" s="120"/>
      <c r="N237" s="120"/>
      <c r="O237" s="120"/>
      <c r="P237" s="120"/>
      <c r="Q237" s="120"/>
    </row>
    <row r="238" spans="3:17" x14ac:dyDescent="0.3">
      <c r="C238" s="196"/>
      <c r="D238" s="197"/>
      <c r="E238" s="196"/>
      <c r="F238" s="120"/>
      <c r="G238" s="120"/>
      <c r="H238" s="120"/>
      <c r="I238" s="120"/>
      <c r="J238" s="120"/>
      <c r="K238" s="120"/>
      <c r="L238" s="120"/>
      <c r="M238" s="120"/>
      <c r="N238" s="120"/>
      <c r="O238" s="120"/>
      <c r="P238" s="120"/>
      <c r="Q238" s="120"/>
    </row>
    <row r="239" spans="3:17" x14ac:dyDescent="0.3">
      <c r="C239" s="196"/>
      <c r="D239" s="197"/>
      <c r="E239" s="196"/>
      <c r="F239" s="120"/>
      <c r="G239" s="120"/>
      <c r="H239" s="120"/>
      <c r="I239" s="120"/>
      <c r="J239" s="120"/>
      <c r="K239" s="120"/>
      <c r="L239" s="120"/>
      <c r="M239" s="120"/>
      <c r="N239" s="120"/>
      <c r="O239" s="120"/>
      <c r="P239" s="120"/>
      <c r="Q239" s="120"/>
    </row>
    <row r="240" spans="3:17" x14ac:dyDescent="0.3">
      <c r="C240" s="196"/>
      <c r="D240" s="197"/>
      <c r="E240" s="196"/>
      <c r="F240" s="120"/>
      <c r="G240" s="120"/>
      <c r="H240" s="120"/>
      <c r="I240" s="120"/>
      <c r="J240" s="120"/>
      <c r="K240" s="120"/>
      <c r="L240" s="120"/>
      <c r="M240" s="120"/>
      <c r="N240" s="120"/>
      <c r="O240" s="120"/>
      <c r="P240" s="120"/>
      <c r="Q240" s="120"/>
    </row>
    <row r="241" spans="3:17" x14ac:dyDescent="0.3">
      <c r="C241" s="196"/>
      <c r="D241" s="197"/>
      <c r="E241" s="196"/>
      <c r="F241" s="120"/>
      <c r="G241" s="120"/>
      <c r="H241" s="120"/>
      <c r="I241" s="120"/>
      <c r="J241" s="120"/>
      <c r="K241" s="120"/>
      <c r="L241" s="120"/>
      <c r="M241" s="120"/>
      <c r="N241" s="120"/>
      <c r="O241" s="120"/>
      <c r="P241" s="120"/>
      <c r="Q241" s="120"/>
    </row>
    <row r="242" spans="3:17" x14ac:dyDescent="0.3">
      <c r="C242" s="196"/>
      <c r="D242" s="197"/>
      <c r="E242" s="196"/>
      <c r="F242" s="120"/>
      <c r="G242" s="120"/>
      <c r="H242" s="120"/>
      <c r="I242" s="120"/>
      <c r="J242" s="120"/>
      <c r="K242" s="120"/>
      <c r="L242" s="120"/>
      <c r="M242" s="120"/>
      <c r="N242" s="120"/>
      <c r="O242" s="120"/>
      <c r="P242" s="120"/>
      <c r="Q242" s="120"/>
    </row>
    <row r="243" spans="3:17" x14ac:dyDescent="0.3">
      <c r="C243" s="196"/>
      <c r="D243" s="197"/>
      <c r="E243" s="196"/>
      <c r="F243" s="120"/>
      <c r="G243" s="120"/>
      <c r="H243" s="120"/>
      <c r="I243" s="120"/>
      <c r="J243" s="120"/>
      <c r="K243" s="120"/>
      <c r="L243" s="120"/>
      <c r="M243" s="120"/>
      <c r="N243" s="120"/>
      <c r="O243" s="120"/>
      <c r="P243" s="120"/>
      <c r="Q243" s="120"/>
    </row>
    <row r="244" spans="3:17" x14ac:dyDescent="0.3">
      <c r="C244" s="196"/>
      <c r="D244" s="197"/>
      <c r="E244" s="196"/>
      <c r="F244" s="120"/>
      <c r="G244" s="120"/>
      <c r="H244" s="120"/>
      <c r="I244" s="120"/>
      <c r="J244" s="120"/>
      <c r="K244" s="120"/>
      <c r="L244" s="120"/>
      <c r="M244" s="120"/>
      <c r="N244" s="120"/>
      <c r="O244" s="120"/>
      <c r="P244" s="120"/>
      <c r="Q244" s="120"/>
    </row>
    <row r="245" spans="3:17" x14ac:dyDescent="0.3">
      <c r="C245" s="196"/>
      <c r="D245" s="197"/>
      <c r="E245" s="196"/>
      <c r="F245" s="120"/>
      <c r="G245" s="120"/>
      <c r="H245" s="120"/>
      <c r="I245" s="120"/>
      <c r="J245" s="120"/>
      <c r="K245" s="120"/>
      <c r="L245" s="120"/>
      <c r="M245" s="120"/>
      <c r="N245" s="120"/>
      <c r="O245" s="120"/>
      <c r="P245" s="120"/>
      <c r="Q245" s="120"/>
    </row>
    <row r="246" spans="3:17" x14ac:dyDescent="0.3">
      <c r="C246" s="196"/>
      <c r="D246" s="197"/>
      <c r="E246" s="196"/>
      <c r="F246" s="120"/>
      <c r="G246" s="120"/>
      <c r="H246" s="120"/>
      <c r="I246" s="120"/>
      <c r="J246" s="120"/>
      <c r="K246" s="120"/>
      <c r="L246" s="120"/>
      <c r="M246" s="120"/>
      <c r="N246" s="120"/>
      <c r="O246" s="120"/>
      <c r="P246" s="120"/>
      <c r="Q246" s="120"/>
    </row>
    <row r="247" spans="3:17" x14ac:dyDescent="0.3">
      <c r="C247" s="196"/>
      <c r="D247" s="197"/>
      <c r="E247" s="196"/>
      <c r="F247" s="120"/>
      <c r="G247" s="120"/>
      <c r="H247" s="120"/>
      <c r="I247" s="120"/>
      <c r="J247" s="120"/>
      <c r="K247" s="120"/>
      <c r="L247" s="120"/>
      <c r="M247" s="120"/>
      <c r="N247" s="120"/>
      <c r="O247" s="120"/>
      <c r="P247" s="120"/>
      <c r="Q247" s="120"/>
    </row>
    <row r="248" spans="3:17" x14ac:dyDescent="0.3">
      <c r="C248" s="196"/>
      <c r="D248" s="197"/>
      <c r="E248" s="196"/>
      <c r="F248" s="120"/>
      <c r="G248" s="120"/>
      <c r="H248" s="120"/>
      <c r="I248" s="120"/>
      <c r="J248" s="120"/>
      <c r="K248" s="120"/>
      <c r="L248" s="120"/>
      <c r="M248" s="120"/>
      <c r="N248" s="120"/>
      <c r="O248" s="120"/>
      <c r="P248" s="120"/>
      <c r="Q248" s="120"/>
    </row>
    <row r="249" spans="3:17" x14ac:dyDescent="0.3">
      <c r="C249" s="196"/>
      <c r="D249" s="197"/>
      <c r="E249" s="196"/>
      <c r="F249" s="120"/>
      <c r="G249" s="120"/>
      <c r="H249" s="120"/>
      <c r="I249" s="120"/>
      <c r="J249" s="120"/>
      <c r="K249" s="120"/>
      <c r="L249" s="120"/>
      <c r="M249" s="120"/>
      <c r="N249" s="120"/>
      <c r="O249" s="120"/>
      <c r="P249" s="120"/>
      <c r="Q249" s="120"/>
    </row>
    <row r="250" spans="3:17" x14ac:dyDescent="0.3">
      <c r="C250" s="196"/>
      <c r="D250" s="197"/>
      <c r="E250" s="196"/>
      <c r="F250" s="120"/>
      <c r="G250" s="120"/>
      <c r="H250" s="120"/>
      <c r="I250" s="120"/>
      <c r="J250" s="120"/>
      <c r="K250" s="120"/>
      <c r="L250" s="120"/>
      <c r="M250" s="120"/>
      <c r="N250" s="120"/>
      <c r="O250" s="120"/>
      <c r="P250" s="120"/>
      <c r="Q250" s="120"/>
    </row>
    <row r="251" spans="3:17" x14ac:dyDescent="0.3">
      <c r="C251" s="196"/>
      <c r="D251" s="197"/>
      <c r="E251" s="196"/>
      <c r="F251" s="120"/>
      <c r="G251" s="120"/>
      <c r="H251" s="120"/>
      <c r="I251" s="120"/>
      <c r="J251" s="120"/>
      <c r="K251" s="120"/>
      <c r="L251" s="120"/>
      <c r="M251" s="120"/>
      <c r="N251" s="120"/>
      <c r="O251" s="120"/>
      <c r="P251" s="120"/>
      <c r="Q251" s="120"/>
    </row>
    <row r="252" spans="3:17" x14ac:dyDescent="0.3">
      <c r="C252" s="196"/>
      <c r="D252" s="197"/>
      <c r="E252" s="196"/>
      <c r="F252" s="120"/>
      <c r="G252" s="120"/>
      <c r="H252" s="120"/>
      <c r="I252" s="120"/>
      <c r="J252" s="120"/>
      <c r="K252" s="120"/>
      <c r="L252" s="120"/>
      <c r="M252" s="120"/>
      <c r="N252" s="120"/>
      <c r="O252" s="120"/>
      <c r="P252" s="120"/>
      <c r="Q252" s="120"/>
    </row>
    <row r="253" spans="3:17" x14ac:dyDescent="0.3">
      <c r="C253" s="196"/>
      <c r="D253" s="197"/>
      <c r="E253" s="196"/>
      <c r="F253" s="120"/>
      <c r="G253" s="120"/>
      <c r="H253" s="120"/>
      <c r="I253" s="120"/>
      <c r="J253" s="120"/>
      <c r="K253" s="120"/>
      <c r="L253" s="120"/>
      <c r="M253" s="120"/>
      <c r="N253" s="120"/>
      <c r="O253" s="120"/>
      <c r="P253" s="120"/>
      <c r="Q253" s="120"/>
    </row>
    <row r="254" spans="3:17" x14ac:dyDescent="0.3">
      <c r="C254" s="196"/>
      <c r="D254" s="197"/>
      <c r="E254" s="196"/>
      <c r="F254" s="120"/>
      <c r="G254" s="120"/>
      <c r="H254" s="120"/>
      <c r="I254" s="120"/>
      <c r="J254" s="120"/>
      <c r="K254" s="120"/>
      <c r="L254" s="120"/>
      <c r="M254" s="120"/>
      <c r="N254" s="120"/>
      <c r="O254" s="120"/>
      <c r="P254" s="120"/>
      <c r="Q254" s="120"/>
    </row>
    <row r="255" spans="3:17" x14ac:dyDescent="0.3">
      <c r="C255" s="196"/>
      <c r="D255" s="197"/>
      <c r="E255" s="196"/>
      <c r="F255" s="120"/>
      <c r="G255" s="120"/>
      <c r="H255" s="120"/>
      <c r="I255" s="120"/>
      <c r="J255" s="120"/>
      <c r="K255" s="120"/>
      <c r="L255" s="120"/>
      <c r="M255" s="120"/>
      <c r="N255" s="120"/>
      <c r="O255" s="120"/>
      <c r="P255" s="120"/>
      <c r="Q255" s="120"/>
    </row>
    <row r="256" spans="3:17" x14ac:dyDescent="0.3">
      <c r="C256" s="196"/>
      <c r="D256" s="197"/>
      <c r="E256" s="196"/>
      <c r="F256" s="120"/>
      <c r="G256" s="120"/>
      <c r="H256" s="120"/>
      <c r="I256" s="120"/>
      <c r="J256" s="120"/>
      <c r="K256" s="120"/>
      <c r="L256" s="120"/>
      <c r="M256" s="120"/>
      <c r="N256" s="120"/>
      <c r="O256" s="120"/>
      <c r="P256" s="120"/>
      <c r="Q256" s="120"/>
    </row>
    <row r="257" spans="3:17" x14ac:dyDescent="0.3">
      <c r="C257" s="196"/>
      <c r="D257" s="197"/>
      <c r="E257" s="196"/>
      <c r="F257" s="120"/>
      <c r="G257" s="120"/>
      <c r="H257" s="120"/>
      <c r="I257" s="120"/>
      <c r="J257" s="120"/>
      <c r="K257" s="120"/>
      <c r="L257" s="120"/>
      <c r="M257" s="120"/>
      <c r="N257" s="120"/>
      <c r="O257" s="120"/>
      <c r="P257" s="120"/>
      <c r="Q257" s="120"/>
    </row>
    <row r="258" spans="3:17" x14ac:dyDescent="0.3">
      <c r="C258" s="196"/>
      <c r="D258" s="197"/>
      <c r="E258" s="196"/>
      <c r="F258" s="120"/>
      <c r="G258" s="120"/>
      <c r="H258" s="120"/>
      <c r="I258" s="120"/>
      <c r="J258" s="120"/>
      <c r="K258" s="120"/>
      <c r="L258" s="120"/>
      <c r="M258" s="120"/>
      <c r="N258" s="120"/>
      <c r="O258" s="120"/>
      <c r="P258" s="120"/>
      <c r="Q258" s="120"/>
    </row>
    <row r="259" spans="3:17" x14ac:dyDescent="0.3">
      <c r="C259" s="196"/>
      <c r="D259" s="197"/>
      <c r="E259" s="196"/>
      <c r="F259" s="120"/>
      <c r="G259" s="120"/>
      <c r="H259" s="120"/>
      <c r="I259" s="120"/>
      <c r="J259" s="120"/>
      <c r="K259" s="120"/>
      <c r="L259" s="120"/>
      <c r="M259" s="120"/>
      <c r="N259" s="120"/>
      <c r="O259" s="120"/>
      <c r="P259" s="120"/>
      <c r="Q259" s="120"/>
    </row>
    <row r="260" spans="3:17" x14ac:dyDescent="0.3">
      <c r="C260" s="196"/>
      <c r="D260" s="197"/>
      <c r="E260" s="196"/>
      <c r="F260" s="120"/>
      <c r="G260" s="120"/>
      <c r="H260" s="120"/>
      <c r="I260" s="120"/>
      <c r="J260" s="120"/>
      <c r="K260" s="120"/>
      <c r="L260" s="120"/>
      <c r="M260" s="120"/>
      <c r="N260" s="120"/>
      <c r="O260" s="120"/>
      <c r="P260" s="120"/>
      <c r="Q260" s="120"/>
    </row>
    <row r="261" spans="3:17" x14ac:dyDescent="0.3">
      <c r="C261" s="196"/>
      <c r="D261" s="197"/>
      <c r="E261" s="196"/>
      <c r="F261" s="120"/>
      <c r="G261" s="120"/>
      <c r="H261" s="120"/>
      <c r="I261" s="120"/>
      <c r="J261" s="120"/>
      <c r="K261" s="120"/>
      <c r="L261" s="120"/>
      <c r="M261" s="120"/>
      <c r="N261" s="120"/>
      <c r="O261" s="120"/>
      <c r="P261" s="120"/>
      <c r="Q261" s="120"/>
    </row>
    <row r="262" spans="3:17" x14ac:dyDescent="0.3">
      <c r="C262" s="196"/>
      <c r="D262" s="197"/>
      <c r="E262" s="196"/>
      <c r="F262" s="120"/>
      <c r="G262" s="120"/>
      <c r="H262" s="120"/>
      <c r="I262" s="120"/>
      <c r="J262" s="120"/>
      <c r="K262" s="120"/>
      <c r="L262" s="120"/>
      <c r="M262" s="120"/>
      <c r="N262" s="120"/>
      <c r="O262" s="120"/>
      <c r="P262" s="120"/>
      <c r="Q262" s="120"/>
    </row>
    <row r="263" spans="3:17" x14ac:dyDescent="0.3">
      <c r="C263" s="196"/>
      <c r="D263" s="197"/>
      <c r="E263" s="196"/>
      <c r="F263" s="120"/>
      <c r="G263" s="120"/>
      <c r="H263" s="120"/>
      <c r="I263" s="120"/>
      <c r="J263" s="120"/>
      <c r="K263" s="120"/>
      <c r="L263" s="120"/>
      <c r="M263" s="120"/>
      <c r="N263" s="120"/>
      <c r="O263" s="120"/>
      <c r="P263" s="120"/>
      <c r="Q263" s="120"/>
    </row>
    <row r="264" spans="3:17" x14ac:dyDescent="0.3">
      <c r="C264" s="196"/>
      <c r="D264" s="197"/>
      <c r="E264" s="196"/>
      <c r="F264" s="120"/>
      <c r="G264" s="120"/>
      <c r="H264" s="120"/>
      <c r="I264" s="120"/>
      <c r="J264" s="120"/>
      <c r="K264" s="120"/>
      <c r="L264" s="120"/>
      <c r="M264" s="120"/>
      <c r="N264" s="120"/>
      <c r="O264" s="120"/>
      <c r="P264" s="120"/>
      <c r="Q264" s="120"/>
    </row>
    <row r="265" spans="3:17" x14ac:dyDescent="0.3">
      <c r="C265" s="196"/>
      <c r="D265" s="197"/>
      <c r="E265" s="196"/>
      <c r="F265" s="120"/>
      <c r="G265" s="120"/>
      <c r="H265" s="120"/>
      <c r="I265" s="120"/>
      <c r="J265" s="120"/>
      <c r="K265" s="120"/>
      <c r="L265" s="120"/>
      <c r="M265" s="120"/>
      <c r="N265" s="120"/>
      <c r="O265" s="120"/>
      <c r="P265" s="120"/>
      <c r="Q265" s="120"/>
    </row>
    <row r="266" spans="3:17" x14ac:dyDescent="0.3">
      <c r="C266" s="196"/>
      <c r="D266" s="197"/>
      <c r="E266" s="196"/>
      <c r="F266" s="120"/>
      <c r="G266" s="120"/>
      <c r="H266" s="120"/>
      <c r="I266" s="120"/>
      <c r="J266" s="120"/>
      <c r="K266" s="120"/>
      <c r="L266" s="120"/>
      <c r="M266" s="120"/>
      <c r="N266" s="120"/>
      <c r="O266" s="120"/>
      <c r="P266" s="120"/>
      <c r="Q266" s="120"/>
    </row>
    <row r="267" spans="3:17" x14ac:dyDescent="0.3">
      <c r="C267" s="196"/>
      <c r="D267" s="197"/>
      <c r="E267" s="196"/>
      <c r="F267" s="120"/>
      <c r="G267" s="120"/>
      <c r="H267" s="120"/>
      <c r="I267" s="120"/>
      <c r="J267" s="120"/>
      <c r="K267" s="120"/>
      <c r="L267" s="120"/>
      <c r="M267" s="120"/>
      <c r="N267" s="120"/>
      <c r="O267" s="120"/>
      <c r="P267" s="120"/>
      <c r="Q267" s="120"/>
    </row>
    <row r="268" spans="3:17" x14ac:dyDescent="0.3">
      <c r="C268" s="196"/>
      <c r="D268" s="197"/>
      <c r="E268" s="196"/>
      <c r="F268" s="120"/>
      <c r="G268" s="120"/>
      <c r="H268" s="120"/>
      <c r="I268" s="120"/>
      <c r="J268" s="120"/>
      <c r="K268" s="120"/>
      <c r="L268" s="120"/>
      <c r="M268" s="120"/>
      <c r="N268" s="120"/>
      <c r="O268" s="120"/>
      <c r="P268" s="120"/>
      <c r="Q268" s="120"/>
    </row>
    <row r="269" spans="3:17" x14ac:dyDescent="0.3">
      <c r="C269" s="196"/>
      <c r="D269" s="197"/>
      <c r="E269" s="196"/>
      <c r="F269" s="120"/>
      <c r="G269" s="120"/>
      <c r="H269" s="120"/>
      <c r="I269" s="120"/>
      <c r="J269" s="120"/>
      <c r="K269" s="120"/>
      <c r="L269" s="120"/>
      <c r="M269" s="120"/>
      <c r="N269" s="120"/>
      <c r="O269" s="120"/>
      <c r="P269" s="120"/>
      <c r="Q269" s="120"/>
    </row>
  </sheetData>
  <sheetProtection algorithmName="SHA-512" hashValue="QNsSctZf0t59E5DGLKW9qiLDFaF0YPmZP8ErwrS3BpitMcTjTNZ73giknYHJKWWvyibP/Bvj7yY2K7MwJGqt2A==" saltValue="ZDuynGNZZ0e2ayBS65JAjQ==" spinCount="100000" sheet="1"/>
  <mergeCells count="3">
    <mergeCell ref="A111:O111"/>
    <mergeCell ref="B49:Q49"/>
    <mergeCell ref="L22:M22"/>
  </mergeCells>
  <phoneticPr fontId="6" type="noConversion"/>
  <dataValidations count="41">
    <dataValidation type="list" allowBlank="1" showInputMessage="1" showErrorMessage="1" sqref="F64:Q64">
      <formula1>"Platinum, Gold, Silver, Bronze"</formula1>
    </dataValidation>
    <dataValidation type="list" allowBlank="1" showInputMessage="1" showErrorMessage="1" sqref="F65:Q65">
      <formula1>"Network 1, Network 2, Network 3, Network 4"</formula1>
    </dataValidation>
    <dataValidation type="list" allowBlank="1" showInputMessage="1" showErrorMessage="1" sqref="F66:Q66">
      <formula1>"HMO, PPO, Indemnity, EPO, POS"</formula1>
    </dataValidation>
    <dataValidation type="list" allowBlank="1" showInputMessage="1" showErrorMessage="1" errorTitle="Value not valid." error="Market is a required field." promptTitle="Required:" prompt="Select the applicable market from the drop-down box. Valid markets are Individual, Small Group or Combined." sqref="H4">
      <formula1>"Individual,Small Group,Combined"</formula1>
    </dataValidation>
    <dataValidation type="list" allowBlank="1" showInputMessage="1" showErrorMessage="1" errorTitle="Value not valid." error="State is a required field." promptTitle="Required:" prompt="Enter the state that has regulatory authority over the policies." sqref="H3">
      <formula1>StateList</formula1>
    </dataValidation>
    <dataValidation type="textLength" allowBlank="1" showInputMessage="1" showErrorMessage="1" errorTitle="Value not valid" error="Company Legal Name is a required field.   (Enter up to 100 characters)" promptTitle="Required:" prompt="Enter the organization’s legal entity name. The name entered in this cell must be the name that is associated with the HIOS Issuer ID.  (Enter up to 100 characters)" sqref="E3">
      <formula1>1</formula1>
      <formula2>100</formula2>
    </dataValidation>
    <dataValidation type="textLength" allowBlank="1" showInputMessage="1" showErrorMessage="1" errorTitle="Value not valid." error="HIOS Issuer ID is a required field (5 digit numeric value)." promptTitle="Required:" prompt="Enter the HIOS ID assigned to the legal entity. (5 digit numeric value)" sqref="E4">
      <formula1>5</formula1>
      <formula2>5</formula2>
    </dataValidation>
    <dataValidation type="date" operator="greaterThan" allowBlank="1" showInputMessage="1" showErrorMessage="1" errorTitle="Value not valid" error="Experience Base Date is a required field." promptTitle="Required:" prompt="Date that is the beginning of the experience Base Period." sqref="E12">
      <formula1>29221</formula1>
    </dataValidation>
    <dataValidation type="whole" operator="greaterThan" allowBlank="1" showInputMessage="1" showErrorMessage="1" errorTitle="Value not valid" error="Premiums (net of MLR Rebate) in Experience Period is a required field." promptTitle="Required:" prompt="Enter the amount of premium earned during the experience period, net of MLR rebates to policyholders." sqref="F14">
      <formula1>0</formula1>
    </dataValidation>
    <dataValidation type="whole" operator="greaterThan" allowBlank="1" showInputMessage="1" showErrorMessage="1" errorTitle="Value not valid" error="Incurred Claims is a required field." promptTitle="Required:" prompt="Enter total claims incurred in the experience period." sqref="F15">
      <formula1>0</formula1>
    </dataValidation>
    <dataValidation type="whole" operator="greaterThan" allowBlank="1" showInputMessage="1" showErrorMessage="1" errorTitle="Value not valid" error="Allowed Claims is a required field." promptTitle="Required:" prompt="Enter total allowed claims with dates of service during the experience period." sqref="F16">
      <formula1>0</formula1>
    </dataValidation>
    <dataValidation type="decimal" operator="greaterThanOrEqual" allowBlank="1" showInputMessage="1" showErrorMessage="1" errorTitle="Value not valid" error="Index Rate of Experience Period is a required field." promptTitle="Required:" prompt="Enter the index rate underlying the experience period.  This field is required for all submissions including plans with rates effective in or after 2014." sqref="G17">
      <formula1>0</formula1>
    </dataValidation>
    <dataValidation type="whole" operator="greaterThanOrEqual" allowBlank="1" showInputMessage="1" showErrorMessage="1" errorTitle="Value not valid" error="Experience Period Member Months is a required field." promptTitle="Required:" prompt="Enter the total number of months of coverage in the experience period for all members that had coverage during any portion of the experience period." sqref="F18">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4">
      <formula1>Util_No_PB</formula1>
    </dataValidation>
    <dataValidation type="decimal" operator="greaterThanOrEqual" allowBlank="1" showInputMessage="1" showErrorMessage="1" errorTitle="Value not valid" error="Enter Utilization per 1,000 for each benefit category." promptTitle="Required if Category Used:" prompt="Enter the total utilization per 1,000 covered members for claims incurred during the experience period for each benefit category.  The utilization must be entered on an annualized basis. (note:  enter data for all applicable categories.)" sqref="F29">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9">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8">
      <formula1>Util_No_ADP</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9">
      <formula1>Util_No_ADB</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7">
      <formula1>Util_No_ADPB</formula1>
    </dataValidation>
    <dataValidation type="decimal" operator="greaterThanOrEqual" allowBlank="1" showInputMessage="1" showErrorMessage="1" errorTitle="Value not valid" error="Enter Utilization per 1,000 for each benefit category." promptTitle="Required if Category Used:" prompt="Enter the total utilization per 1,000 covered members for claims incurred during the experience period for each benefit category.  The utilization must be entered on an annualized basis. (note:  enter data for all applicable categories.)" sqref="F24:F28">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8">
      <formula1>0</formula1>
    </dataValidation>
    <dataValidation type="decimal" operator="greaterThanOrEqual" allowBlank="1" showInputMessage="1" showErrorMessage="1" errorTitle="Value not valid" error="Enter currency value greater than 0 if benefit category is used." promptTitle="Required if Category Used:" prompt="Enter the assumed utilization per 1,000 for the data underlying the credibility manual.  (Enter a value greater than 0 if benefit category is used)" sqref="R24:R29">
      <formula1>0</formula1>
    </dataValidation>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9">
      <formula1>0</formula1>
    </dataValidation>
    <dataValidation type="decimal" allowBlank="1" showInputMessage="1" showErrorMessage="1" errorTitle="Value not valid" error="Enter a percentage value between 0 and 100%" promptTitle="Required:" prompt="Enter the assumed level of credibility to be applied to the experience period claims that have been projected to the rating period.  (Enter a percentage value)" sqref="Q32">
      <formula1>0</formula1>
      <formula2>1</formula2>
    </dataValidation>
    <dataValidation type="decimal" allowBlank="1" showInputMessage="1" showErrorMessage="1" errorTitle="Value not valid" error="Enter a decimal value between 0 and 1.0 with up to 3 decimal points" promptTitle="Required:" prompt="Enter the average paid to allowed factor for the projection period.  (Enter a decimal value between 0 and 1.0 with up to 3 decimal points)" sqref="V33">
      <formula1>0</formula1>
      <formula2>1</formula2>
    </dataValidation>
    <dataValidation type="decimal" allowBlank="1" showInputMessage="1" showErrorMessage="1" errorTitle="Value not valid" error="Enter dollar value if market is Individual or Combined" promptTitle="Required if Indv./Comb. Market:" prompt="Enter projected net recoveries from the federal reinsurance program.   (Enter dollar value if market is Individual or Combined)" sqref="V37">
      <formula1>-9999999999999</formula1>
      <formula2>9999999999999</formula2>
    </dataValidation>
    <dataValidation type="decimal" allowBlank="1" showInputMessage="1" showErrorMessage="1" errorTitle="Value not valid" error="Enter percentage between 0 and 100% up to 2 decimal points." promptTitle="Required:" prompt="Enter the administrative expense load included in the premiums being filed for the effective date.   (Enter percentage between 0 and 100% up to 2 decimal points.)" sqref="T40">
      <formula1>0</formula1>
      <formula2>1</formula2>
    </dataValidation>
    <dataValidation type="decimal" allowBlank="1" showInputMessage="1" showErrorMessage="1" errorTitle="Value not valid" error="Enter percentage between -100% and 100% with up to 2 decimal points." promptTitle="Required:" prompt="Enter the profit and risk load included in the premiums being filed for the effective date.  (Enter percentage between -100% and 100% with up to 2 decimal points.)" sqref="T41">
      <formula1>-1</formula1>
      <formula2>1</formula2>
    </dataValidation>
    <dataValidation type="decimal" allowBlank="1" showInputMessage="1" showErrorMessage="1" errorTitle="Value not valid" error="Enter percentage between 0 and 100% up to 2 decimal points." promptTitle="Required:" prompt="Enter the taxes and fees included in the premiums being filed for the effective date.  (Enter percentage between 0 and 100% up to 2 decimal points.)" sqref="T42">
      <formula1>0</formula1>
      <formula2>1</formula2>
    </dataValidation>
    <dataValidation type="decimal" operator="greaterThan" allowBlank="1" showInputMessage="1" showErrorMessage="1" errorTitle="Value not valid" error="Enter dollar amount greater than 0" promptTitle="Required:" prompt="Enter the projected index rate for the projection period.   (Enter dollar amount greater than 0)" sqref="V44">
      <formula1>0</formula1>
    </dataValidation>
    <dataValidation type="whole" operator="greaterThanOrEqual" allowBlank="1" showInputMessage="1" showErrorMessage="1" errorTitle="Value not valid" error="Enter a whole number value." promptTitle="Required:" prompt="Enter the Projected Member Months (enter a whole number value)" sqref="X47">
      <formula1>0</formula1>
    </dataValidation>
    <dataValidation type="decimal" allowBlank="1" showInputMessage="1" showErrorMessage="1" errorTitle="Value not valid" error="Enter a decimal with up to 2 decimal points." promptTitle="Required:" prompt="Enter the projected PMPM amount of risk transfers for the projection period as a decimal with up to 2 decimal points." sqref="V35">
      <formula1>-9999999999999</formula1>
      <formula2>9999999999999</formula2>
    </dataValidation>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8">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4:G27">
      <formula1>0</formula1>
    </dataValidation>
    <dataValidation allowBlank="1" showInputMessage="1" showErrorMessage="1" promptTitle="Required:" prompt="This field will be automatically populated based on the latest Effective Date entered on Worksheet 2." sqref="E5"/>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4:S27">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morbidity of the covered population from the experience period to the projection period. (enter decimal with up to 3 decimal points i.e. 1.003)" sqref="J24:J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cost related to things other than population morbidity, cost trend, and utilization trend.  (enter decimal with up to 3 decimal points i.e. 1.003)" sqref="K24:K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cost per service from the experience period to the projection period.  (enter decimal with up to 3 decimal points i.e. 1.003)" sqref="L24:L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utilization per 1,000 members from the experience period to the projection period.  (enter decimal with up to 3 decimal points i.e. 1.003)" sqref="M24:M29">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5 E26">
      <formula1>Util_No_ADPB</formula1>
    </dataValidation>
  </dataValidations>
  <printOptions headings="1"/>
  <pageMargins left="0.2" right="0.2" top="0.3" bottom="0.3" header="0.05" footer="0.05"/>
  <pageSetup scale="48"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1043940</xdr:colOff>
                    <xdr:row>1</xdr:row>
                    <xdr:rowOff>22860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7</xdr:col>
                    <xdr:colOff>266700</xdr:colOff>
                    <xdr:row>0</xdr:row>
                    <xdr:rowOff>0</xdr:rowOff>
                  </from>
                  <to>
                    <xdr:col>9</xdr:col>
                    <xdr:colOff>121920</xdr:colOff>
                    <xdr:row>1</xdr:row>
                    <xdr:rowOff>30480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9</xdr:col>
                    <xdr:colOff>182880</xdr:colOff>
                    <xdr:row>0</xdr:row>
                    <xdr:rowOff>0</xdr:rowOff>
                  </from>
                  <to>
                    <xdr:col>10</xdr:col>
                    <xdr:colOff>403860</xdr:colOff>
                    <xdr:row>1</xdr:row>
                    <xdr:rowOff>30480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7</xdr:col>
                    <xdr:colOff>205740</xdr:colOff>
                    <xdr:row>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F106"/>
  <sheetViews>
    <sheetView showGridLines="0" zoomScale="80" zoomScaleNormal="80" workbookViewId="0">
      <selection activeCell="G96" sqref="G96:DV97"/>
    </sheetView>
  </sheetViews>
  <sheetFormatPr defaultColWidth="8.88671875" defaultRowHeight="14.4" x14ac:dyDescent="0.3"/>
  <cols>
    <col min="1" max="1" width="13.44140625" style="250" customWidth="1"/>
    <col min="2" max="2" width="12.88671875" style="250" bestFit="1" customWidth="1"/>
    <col min="3" max="3" width="4" style="250" customWidth="1"/>
    <col min="4" max="4" width="2.6640625" style="250" customWidth="1"/>
    <col min="5" max="5" width="43.88671875" style="250" customWidth="1"/>
    <col min="6" max="6" width="14.5546875" style="250" customWidth="1"/>
    <col min="7" max="126" width="15.77734375" style="45" customWidth="1"/>
    <col min="127" max="16384" width="8.88671875" style="45"/>
  </cols>
  <sheetData>
    <row r="1" spans="1:126" ht="18.600000000000001" customHeight="1" x14ac:dyDescent="0.35">
      <c r="A1" s="368" t="s">
        <v>197</v>
      </c>
      <c r="E1" s="20" t="s">
        <v>24</v>
      </c>
      <c r="F1" s="20"/>
      <c r="G1" s="91"/>
      <c r="H1" s="91"/>
      <c r="I1" s="91"/>
      <c r="J1" s="90"/>
      <c r="K1" s="92"/>
      <c r="L1" s="92"/>
      <c r="M1" s="92"/>
      <c r="N1" s="92"/>
      <c r="O1" s="92"/>
      <c r="P1" s="92"/>
      <c r="Q1" s="92"/>
      <c r="R1" s="92"/>
      <c r="S1" s="92"/>
      <c r="T1" s="92"/>
      <c r="U1" s="92"/>
      <c r="V1" s="92"/>
      <c r="W1" s="92"/>
    </row>
    <row r="2" spans="1:126" ht="18" x14ac:dyDescent="0.35">
      <c r="E2" s="3"/>
      <c r="F2" s="3"/>
      <c r="G2" s="91"/>
      <c r="H2" s="91"/>
      <c r="I2" s="91"/>
      <c r="J2" s="90"/>
      <c r="K2" s="92"/>
      <c r="L2" s="92"/>
      <c r="M2" s="92"/>
      <c r="N2" s="92"/>
      <c r="O2" s="92"/>
      <c r="P2" s="92"/>
      <c r="Q2" s="92"/>
      <c r="R2" s="92"/>
      <c r="S2" s="92"/>
      <c r="T2" s="92"/>
      <c r="U2" s="92"/>
      <c r="V2" s="92"/>
      <c r="W2" s="92"/>
    </row>
    <row r="3" spans="1:126" ht="18" x14ac:dyDescent="0.35">
      <c r="E3" s="10" t="s">
        <v>9</v>
      </c>
      <c r="F3" s="10"/>
      <c r="G3" s="91"/>
      <c r="H3" s="205" t="str">
        <f>IF('Wksh 1 - Market Experience'!E3&lt;&gt;"", 'Wksh 1 - Market Experience'!E3,"")</f>
        <v>Kaiser Foundation Health Plan of Colorado</v>
      </c>
      <c r="I3" s="205"/>
      <c r="J3" s="206"/>
      <c r="K3" s="206"/>
      <c r="L3" s="206"/>
      <c r="M3" s="92"/>
      <c r="N3" s="92"/>
      <c r="P3" s="93" t="s">
        <v>15</v>
      </c>
      <c r="Q3" s="366" t="str">
        <f>IF('Wksh 1 - Market Experience'!H3="","",'Wksh 1 - Market Experience'!H3)</f>
        <v>CO</v>
      </c>
      <c r="R3" s="92"/>
      <c r="S3" s="92"/>
      <c r="T3" s="92"/>
      <c r="U3" s="92"/>
      <c r="V3" s="92"/>
      <c r="W3" s="92"/>
    </row>
    <row r="4" spans="1:126" ht="18" x14ac:dyDescent="0.35">
      <c r="E4" s="11" t="s">
        <v>10</v>
      </c>
      <c r="F4" s="11"/>
      <c r="G4" s="91"/>
      <c r="H4" s="205" t="str">
        <f>IF('Wksh 1 - Market Experience'!E4&lt;&gt;"",'Wksh 1 - Market Experience'!E4,"")</f>
        <v>21032</v>
      </c>
      <c r="I4" s="205"/>
      <c r="J4" s="206"/>
      <c r="K4" s="206"/>
      <c r="L4" s="207"/>
      <c r="M4" s="92"/>
      <c r="N4" s="92"/>
      <c r="P4" s="93" t="s">
        <v>17</v>
      </c>
      <c r="Q4" s="366" t="str">
        <f>IF('Wksh 1 - Market Experience'!H4="","",'Wksh 1 - Market Experience'!H4)</f>
        <v>Individual</v>
      </c>
      <c r="R4" s="92"/>
      <c r="S4" s="92"/>
      <c r="T4" s="92"/>
      <c r="U4" s="92"/>
      <c r="V4" s="92"/>
      <c r="W4" s="92"/>
    </row>
    <row r="5" spans="1:126" ht="18" x14ac:dyDescent="0.35">
      <c r="E5" s="10" t="s">
        <v>25</v>
      </c>
      <c r="F5" s="10"/>
      <c r="G5" s="91"/>
      <c r="H5" s="379">
        <f>IF('Wksh 1 - Market Experience'!E5&lt;&gt;"",'Wksh 1 - Market Experience'!E5,"")</f>
        <v>43101</v>
      </c>
      <c r="I5" s="379"/>
      <c r="J5" s="380"/>
      <c r="K5" s="92"/>
      <c r="L5" s="92"/>
      <c r="M5" s="92"/>
      <c r="N5" s="92"/>
      <c r="O5" s="92"/>
      <c r="P5" s="92"/>
      <c r="Q5" s="92"/>
      <c r="R5" s="92"/>
      <c r="S5" s="92"/>
      <c r="T5" s="92"/>
      <c r="U5" s="92"/>
      <c r="V5" s="92"/>
      <c r="W5" s="92"/>
    </row>
    <row r="6" spans="1:126" x14ac:dyDescent="0.3">
      <c r="E6" s="251"/>
      <c r="F6" s="251"/>
      <c r="G6" s="92"/>
      <c r="H6" s="92"/>
      <c r="I6" s="92"/>
      <c r="J6" s="95"/>
      <c r="K6" s="92"/>
      <c r="L6" s="92"/>
      <c r="M6" s="92"/>
      <c r="N6" s="92"/>
      <c r="O6" s="92"/>
      <c r="P6" s="92"/>
      <c r="Q6" s="92"/>
      <c r="R6" s="92"/>
      <c r="S6" s="92"/>
      <c r="T6" s="92"/>
      <c r="U6" s="92"/>
      <c r="V6" s="92"/>
      <c r="W6" s="92"/>
    </row>
    <row r="7" spans="1:126" x14ac:dyDescent="0.3">
      <c r="E7" s="251"/>
      <c r="F7" s="251"/>
      <c r="G7" s="92"/>
      <c r="H7" s="92"/>
      <c r="I7" s="92"/>
      <c r="J7" s="95"/>
      <c r="K7" s="92"/>
      <c r="L7" s="92"/>
      <c r="M7" s="92"/>
      <c r="N7" s="92"/>
      <c r="O7" s="92"/>
      <c r="P7" s="92"/>
      <c r="Q7" s="92"/>
      <c r="R7" s="92"/>
      <c r="S7" s="92"/>
      <c r="T7" s="92"/>
      <c r="U7" s="92"/>
      <c r="V7" s="92"/>
      <c r="W7" s="92"/>
    </row>
    <row r="8" spans="1:126" x14ac:dyDescent="0.3">
      <c r="E8" s="255" t="s">
        <v>26</v>
      </c>
      <c r="F8" s="260"/>
      <c r="G8" s="97"/>
      <c r="H8" s="97"/>
      <c r="I8" s="97"/>
      <c r="J8" s="98"/>
      <c r="K8" s="97"/>
      <c r="L8" s="97"/>
      <c r="M8" s="97"/>
      <c r="N8" s="97"/>
      <c r="O8" s="97"/>
      <c r="P8" s="97"/>
      <c r="Q8" s="97"/>
      <c r="R8" s="97"/>
      <c r="S8" s="97"/>
      <c r="T8" s="97"/>
      <c r="U8" s="97"/>
      <c r="V8" s="97"/>
      <c r="W8" s="97"/>
      <c r="X8" s="99"/>
    </row>
    <row r="9" spans="1:126" x14ac:dyDescent="0.3">
      <c r="E9" s="253"/>
      <c r="F9" s="254"/>
      <c r="G9" s="101"/>
      <c r="H9" s="101"/>
      <c r="I9" s="101"/>
      <c r="J9" s="102"/>
      <c r="K9" s="101"/>
      <c r="L9" s="101"/>
      <c r="M9" s="101"/>
      <c r="N9" s="101"/>
      <c r="O9" s="101"/>
      <c r="P9" s="101"/>
      <c r="Q9" s="101"/>
      <c r="R9" s="101"/>
      <c r="S9" s="101"/>
      <c r="T9" s="101"/>
      <c r="U9" s="101"/>
      <c r="V9" s="101"/>
      <c r="W9" s="101"/>
      <c r="X9" s="103"/>
    </row>
    <row r="10" spans="1:126" x14ac:dyDescent="0.3">
      <c r="E10" s="252"/>
      <c r="F10" s="252"/>
      <c r="G10" s="115" t="s">
        <v>186</v>
      </c>
      <c r="H10" s="115"/>
      <c r="I10" s="115"/>
      <c r="J10" s="177"/>
      <c r="K10" s="115"/>
      <c r="L10" s="115"/>
      <c r="M10" s="115"/>
      <c r="N10" s="115"/>
      <c r="O10" s="115"/>
      <c r="P10" s="115"/>
      <c r="Q10" s="115"/>
      <c r="R10" s="115"/>
      <c r="S10" s="115"/>
      <c r="T10" s="115"/>
      <c r="U10" s="115"/>
      <c r="V10" s="115"/>
      <c r="W10" s="115"/>
      <c r="X10" s="115"/>
      <c r="Y10" s="111"/>
      <c r="AA10" s="45" t="s">
        <v>186</v>
      </c>
      <c r="BO10" s="45" t="s">
        <v>186</v>
      </c>
    </row>
    <row r="11" spans="1:126" x14ac:dyDescent="0.3">
      <c r="E11" s="257" t="s">
        <v>178</v>
      </c>
      <c r="F11" s="257"/>
      <c r="G11" s="208"/>
      <c r="H11" s="208"/>
      <c r="I11" s="208"/>
      <c r="J11" s="209"/>
      <c r="K11" s="208"/>
      <c r="L11" s="208"/>
      <c r="M11" s="208"/>
      <c r="N11" s="208"/>
      <c r="O11" s="208"/>
      <c r="P11" s="208"/>
      <c r="Q11" s="208"/>
      <c r="R11" s="208"/>
      <c r="S11" s="208"/>
      <c r="T11" s="208"/>
      <c r="U11" s="208"/>
      <c r="V11" s="208"/>
      <c r="W11" s="210"/>
    </row>
    <row r="12" spans="1:126" x14ac:dyDescent="0.3">
      <c r="B12" s="45"/>
      <c r="C12" s="45"/>
      <c r="D12" s="45"/>
      <c r="E12" s="46" t="s">
        <v>2</v>
      </c>
      <c r="F12" s="47"/>
      <c r="G12" s="381" t="s">
        <v>202</v>
      </c>
      <c r="H12" s="382"/>
      <c r="I12" s="382"/>
      <c r="J12" s="382"/>
      <c r="K12" s="382"/>
      <c r="L12" s="382"/>
      <c r="M12" s="382"/>
      <c r="N12" s="382"/>
      <c r="O12" s="382"/>
      <c r="P12" s="382"/>
      <c r="Q12" s="382"/>
      <c r="R12" s="382"/>
      <c r="S12" s="382"/>
      <c r="T12" s="382"/>
      <c r="U12" s="382"/>
      <c r="V12" s="382"/>
      <c r="W12" s="382"/>
      <c r="X12" s="382"/>
      <c r="Y12" s="382"/>
      <c r="Z12" s="382"/>
      <c r="AA12" s="382"/>
      <c r="AB12" s="382"/>
      <c r="AC12" s="382"/>
      <c r="AD12" s="382"/>
      <c r="AE12" s="382"/>
      <c r="AF12" s="382"/>
      <c r="AG12" s="382"/>
      <c r="AH12" s="382"/>
      <c r="AI12" s="382"/>
      <c r="AJ12" s="382"/>
      <c r="AK12" s="382"/>
      <c r="AL12" s="382"/>
      <c r="AM12" s="382"/>
      <c r="AN12" s="382"/>
      <c r="AO12" s="382"/>
      <c r="AP12" s="382"/>
      <c r="AQ12" s="382"/>
      <c r="AR12" s="382"/>
      <c r="AS12" s="382"/>
      <c r="AT12" s="382"/>
      <c r="AU12" s="382"/>
      <c r="AV12" s="382"/>
      <c r="AW12" s="382"/>
      <c r="AX12" s="382"/>
      <c r="AY12" s="382"/>
      <c r="AZ12" s="382"/>
      <c r="BA12" s="382"/>
      <c r="BB12" s="382"/>
      <c r="BC12" s="382"/>
      <c r="BD12" s="382"/>
      <c r="BE12" s="382"/>
      <c r="BF12" s="382"/>
      <c r="BG12" s="382"/>
      <c r="BH12" s="382"/>
      <c r="BI12" s="382"/>
      <c r="BJ12" s="382"/>
      <c r="BK12" s="382"/>
      <c r="BL12" s="382"/>
      <c r="BM12" s="382"/>
      <c r="BN12" s="383"/>
      <c r="BO12" s="381" t="s">
        <v>202</v>
      </c>
      <c r="BP12" s="382"/>
      <c r="BQ12" s="382"/>
      <c r="BR12" s="382"/>
      <c r="BS12" s="382"/>
      <c r="BT12" s="382"/>
      <c r="BU12" s="382"/>
      <c r="BV12" s="382"/>
      <c r="BW12" s="382"/>
      <c r="BX12" s="382"/>
      <c r="BY12" s="382"/>
      <c r="BZ12" s="382"/>
      <c r="CA12" s="382"/>
      <c r="CB12" s="382"/>
      <c r="CC12" s="382"/>
      <c r="CD12" s="382"/>
      <c r="CE12" s="382"/>
      <c r="CF12" s="382"/>
      <c r="CG12" s="382"/>
      <c r="CH12" s="382"/>
      <c r="CI12" s="382"/>
      <c r="CJ12" s="382"/>
      <c r="CK12" s="382"/>
      <c r="CL12" s="382"/>
      <c r="CM12" s="382"/>
      <c r="CN12" s="382"/>
      <c r="CO12" s="382"/>
      <c r="CP12" s="382"/>
      <c r="CQ12" s="382"/>
      <c r="CR12" s="382"/>
      <c r="CS12" s="382"/>
      <c r="CT12" s="382"/>
      <c r="CU12" s="382"/>
      <c r="CV12" s="382"/>
      <c r="CW12" s="382"/>
      <c r="CX12" s="382"/>
      <c r="CY12" s="382"/>
      <c r="CZ12" s="382"/>
      <c r="DA12" s="382"/>
      <c r="DB12" s="382"/>
      <c r="DC12" s="382"/>
      <c r="DD12" s="382"/>
      <c r="DE12" s="382"/>
      <c r="DF12" s="382"/>
      <c r="DG12" s="382"/>
      <c r="DH12" s="382"/>
      <c r="DI12" s="382"/>
      <c r="DJ12" s="382"/>
      <c r="DK12" s="382"/>
      <c r="DL12" s="382"/>
      <c r="DM12" s="382"/>
      <c r="DN12" s="382"/>
      <c r="DO12" s="382"/>
      <c r="DP12" s="382"/>
      <c r="DQ12" s="382"/>
      <c r="DR12" s="382"/>
      <c r="DS12" s="382"/>
      <c r="DT12" s="382"/>
      <c r="DU12" s="382"/>
      <c r="DV12" s="383"/>
    </row>
    <row r="13" spans="1:126" x14ac:dyDescent="0.3">
      <c r="B13" s="45"/>
      <c r="C13" s="45"/>
      <c r="D13" s="45"/>
      <c r="E13" s="46" t="s">
        <v>27</v>
      </c>
      <c r="F13" s="51"/>
      <c r="G13" s="384" t="s">
        <v>203</v>
      </c>
      <c r="H13" s="385"/>
      <c r="I13" s="385"/>
      <c r="J13" s="385"/>
      <c r="K13" s="385"/>
      <c r="L13" s="385"/>
      <c r="M13" s="385"/>
      <c r="N13" s="385"/>
      <c r="O13" s="385"/>
      <c r="P13" s="385"/>
      <c r="Q13" s="385"/>
      <c r="R13" s="385"/>
      <c r="S13" s="385"/>
      <c r="T13" s="385"/>
      <c r="U13" s="385"/>
      <c r="V13" s="385"/>
      <c r="W13" s="385"/>
      <c r="X13" s="385"/>
      <c r="Y13" s="385"/>
      <c r="Z13" s="385"/>
      <c r="AA13" s="385"/>
      <c r="AB13" s="385"/>
      <c r="AC13" s="385"/>
      <c r="AD13" s="385"/>
      <c r="AE13" s="385"/>
      <c r="AF13" s="385"/>
      <c r="AG13" s="385"/>
      <c r="AH13" s="385"/>
      <c r="AI13" s="385"/>
      <c r="AJ13" s="385"/>
      <c r="AK13" s="385"/>
      <c r="AL13" s="385"/>
      <c r="AM13" s="385"/>
      <c r="AN13" s="385"/>
      <c r="AO13" s="385"/>
      <c r="AP13" s="385"/>
      <c r="AQ13" s="385"/>
      <c r="AR13" s="385"/>
      <c r="AS13" s="385"/>
      <c r="AT13" s="385"/>
      <c r="AU13" s="385"/>
      <c r="AV13" s="385"/>
      <c r="AW13" s="385"/>
      <c r="AX13" s="385"/>
      <c r="AY13" s="385"/>
      <c r="AZ13" s="385"/>
      <c r="BA13" s="385"/>
      <c r="BB13" s="385"/>
      <c r="BC13" s="385"/>
      <c r="BD13" s="385"/>
      <c r="BE13" s="385"/>
      <c r="BF13" s="385"/>
      <c r="BG13" s="385"/>
      <c r="BH13" s="385"/>
      <c r="BI13" s="385"/>
      <c r="BJ13" s="385"/>
      <c r="BK13" s="385"/>
      <c r="BL13" s="385"/>
      <c r="BM13" s="385"/>
      <c r="BN13" s="386"/>
      <c r="BO13" s="384" t="s">
        <v>204</v>
      </c>
      <c r="BP13" s="385"/>
      <c r="BQ13" s="385"/>
      <c r="BR13" s="385"/>
      <c r="BS13" s="385"/>
      <c r="BT13" s="385"/>
      <c r="BU13" s="385"/>
      <c r="BV13" s="385"/>
      <c r="BW13" s="385"/>
      <c r="BX13" s="385"/>
      <c r="BY13" s="385"/>
      <c r="BZ13" s="385"/>
      <c r="CA13" s="385"/>
      <c r="CB13" s="385"/>
      <c r="CC13" s="385"/>
      <c r="CD13" s="385"/>
      <c r="CE13" s="385"/>
      <c r="CF13" s="385"/>
      <c r="CG13" s="385"/>
      <c r="CH13" s="385"/>
      <c r="CI13" s="385"/>
      <c r="CJ13" s="385"/>
      <c r="CK13" s="385"/>
      <c r="CL13" s="385"/>
      <c r="CM13" s="385"/>
      <c r="CN13" s="385"/>
      <c r="CO13" s="385"/>
      <c r="CP13" s="385"/>
      <c r="CQ13" s="385"/>
      <c r="CR13" s="385"/>
      <c r="CS13" s="385"/>
      <c r="CT13" s="385"/>
      <c r="CU13" s="385"/>
      <c r="CV13" s="385"/>
      <c r="CW13" s="385"/>
      <c r="CX13" s="385"/>
      <c r="CY13" s="385"/>
      <c r="CZ13" s="385"/>
      <c r="DA13" s="385"/>
      <c r="DB13" s="385"/>
      <c r="DC13" s="385"/>
      <c r="DD13" s="385"/>
      <c r="DE13" s="385"/>
      <c r="DF13" s="385"/>
      <c r="DG13" s="385"/>
      <c r="DH13" s="385"/>
      <c r="DI13" s="385"/>
      <c r="DJ13" s="385"/>
      <c r="DK13" s="385"/>
      <c r="DL13" s="385"/>
      <c r="DM13" s="385"/>
      <c r="DN13" s="385"/>
      <c r="DO13" s="385"/>
      <c r="DP13" s="385"/>
      <c r="DQ13" s="385"/>
      <c r="DR13" s="385"/>
      <c r="DS13" s="385"/>
      <c r="DT13" s="385"/>
      <c r="DU13" s="385"/>
      <c r="DV13" s="386"/>
    </row>
    <row r="14" spans="1:126" x14ac:dyDescent="0.3">
      <c r="B14" s="45"/>
      <c r="C14" s="45"/>
      <c r="D14" s="45"/>
      <c r="E14" s="46" t="s">
        <v>11</v>
      </c>
      <c r="F14" s="47"/>
      <c r="G14" s="44" t="s">
        <v>205</v>
      </c>
      <c r="H14" s="44" t="s">
        <v>205</v>
      </c>
      <c r="I14" s="44" t="s">
        <v>205</v>
      </c>
      <c r="J14" s="44" t="s">
        <v>205</v>
      </c>
      <c r="K14" s="44" t="s">
        <v>205</v>
      </c>
      <c r="L14" s="44" t="s">
        <v>205</v>
      </c>
      <c r="M14" s="44" t="s">
        <v>205</v>
      </c>
      <c r="N14" s="44" t="s">
        <v>205</v>
      </c>
      <c r="O14" s="44" t="s">
        <v>205</v>
      </c>
      <c r="P14" s="44" t="s">
        <v>205</v>
      </c>
      <c r="Q14" s="44" t="s">
        <v>205</v>
      </c>
      <c r="R14" s="44" t="s">
        <v>205</v>
      </c>
      <c r="S14" s="44" t="s">
        <v>205</v>
      </c>
      <c r="T14" s="44" t="s">
        <v>205</v>
      </c>
      <c r="U14" s="44" t="s">
        <v>205</v>
      </c>
      <c r="V14" s="44" t="s">
        <v>206</v>
      </c>
      <c r="W14" s="44" t="s">
        <v>206</v>
      </c>
      <c r="X14" s="44" t="s">
        <v>206</v>
      </c>
      <c r="Y14" s="44" t="s">
        <v>206</v>
      </c>
      <c r="Z14" s="44" t="s">
        <v>206</v>
      </c>
      <c r="AA14" s="44" t="s">
        <v>206</v>
      </c>
      <c r="AB14" s="44" t="s">
        <v>206</v>
      </c>
      <c r="AC14" s="44" t="s">
        <v>206</v>
      </c>
      <c r="AD14" s="44" t="s">
        <v>206</v>
      </c>
      <c r="AE14" s="44" t="s">
        <v>206</v>
      </c>
      <c r="AF14" s="44" t="s">
        <v>206</v>
      </c>
      <c r="AG14" s="44" t="s">
        <v>206</v>
      </c>
      <c r="AH14" s="44" t="s">
        <v>206</v>
      </c>
      <c r="AI14" s="44" t="s">
        <v>206</v>
      </c>
      <c r="AJ14" s="44" t="s">
        <v>206</v>
      </c>
      <c r="AK14" s="44" t="s">
        <v>206</v>
      </c>
      <c r="AL14" s="44" t="s">
        <v>206</v>
      </c>
      <c r="AM14" s="44" t="s">
        <v>206</v>
      </c>
      <c r="AN14" s="44" t="s">
        <v>206</v>
      </c>
      <c r="AO14" s="44" t="s">
        <v>206</v>
      </c>
      <c r="AP14" s="44" t="s">
        <v>207</v>
      </c>
      <c r="AQ14" s="44" t="s">
        <v>207</v>
      </c>
      <c r="AR14" s="44" t="s">
        <v>207</v>
      </c>
      <c r="AS14" s="44" t="s">
        <v>207</v>
      </c>
      <c r="AT14" s="44" t="s">
        <v>207</v>
      </c>
      <c r="AU14" s="44" t="s">
        <v>207</v>
      </c>
      <c r="AV14" s="44" t="s">
        <v>207</v>
      </c>
      <c r="AW14" s="44" t="s">
        <v>207</v>
      </c>
      <c r="AX14" s="44" t="s">
        <v>207</v>
      </c>
      <c r="AY14" s="44" t="s">
        <v>207</v>
      </c>
      <c r="AZ14" s="44" t="s">
        <v>207</v>
      </c>
      <c r="BA14" s="44" t="s">
        <v>207</v>
      </c>
      <c r="BB14" s="44" t="s">
        <v>207</v>
      </c>
      <c r="BC14" s="44" t="s">
        <v>207</v>
      </c>
      <c r="BD14" s="44" t="s">
        <v>207</v>
      </c>
      <c r="BE14" s="44" t="s">
        <v>207</v>
      </c>
      <c r="BF14" s="44" t="s">
        <v>207</v>
      </c>
      <c r="BG14" s="44" t="s">
        <v>207</v>
      </c>
      <c r="BH14" s="44" t="s">
        <v>207</v>
      </c>
      <c r="BI14" s="44" t="s">
        <v>207</v>
      </c>
      <c r="BJ14" s="44" t="s">
        <v>208</v>
      </c>
      <c r="BK14" s="44" t="s">
        <v>208</v>
      </c>
      <c r="BL14" s="44" t="s">
        <v>208</v>
      </c>
      <c r="BM14" s="44" t="s">
        <v>208</v>
      </c>
      <c r="BN14" s="44" t="s">
        <v>208</v>
      </c>
      <c r="BO14" s="44" t="s">
        <v>205</v>
      </c>
      <c r="BP14" s="44" t="s">
        <v>205</v>
      </c>
      <c r="BQ14" s="44" t="s">
        <v>205</v>
      </c>
      <c r="BR14" s="44" t="s">
        <v>205</v>
      </c>
      <c r="BS14" s="44" t="s">
        <v>205</v>
      </c>
      <c r="BT14" s="44" t="s">
        <v>205</v>
      </c>
      <c r="BU14" s="44" t="s">
        <v>205</v>
      </c>
      <c r="BV14" s="44" t="s">
        <v>205</v>
      </c>
      <c r="BW14" s="44" t="s">
        <v>205</v>
      </c>
      <c r="BX14" s="44" t="s">
        <v>205</v>
      </c>
      <c r="BY14" s="44" t="s">
        <v>205</v>
      </c>
      <c r="BZ14" s="44" t="s">
        <v>205</v>
      </c>
      <c r="CA14" s="44" t="s">
        <v>205</v>
      </c>
      <c r="CB14" s="44" t="s">
        <v>205</v>
      </c>
      <c r="CC14" s="44" t="s">
        <v>205</v>
      </c>
      <c r="CD14" s="44" t="s">
        <v>206</v>
      </c>
      <c r="CE14" s="44" t="s">
        <v>206</v>
      </c>
      <c r="CF14" s="44" t="s">
        <v>206</v>
      </c>
      <c r="CG14" s="44" t="s">
        <v>206</v>
      </c>
      <c r="CH14" s="44" t="s">
        <v>206</v>
      </c>
      <c r="CI14" s="44" t="s">
        <v>206</v>
      </c>
      <c r="CJ14" s="44" t="s">
        <v>206</v>
      </c>
      <c r="CK14" s="44" t="s">
        <v>206</v>
      </c>
      <c r="CL14" s="44" t="s">
        <v>206</v>
      </c>
      <c r="CM14" s="44" t="s">
        <v>206</v>
      </c>
      <c r="CN14" s="44" t="s">
        <v>206</v>
      </c>
      <c r="CO14" s="44" t="s">
        <v>206</v>
      </c>
      <c r="CP14" s="44" t="s">
        <v>206</v>
      </c>
      <c r="CQ14" s="44" t="s">
        <v>206</v>
      </c>
      <c r="CR14" s="44" t="s">
        <v>206</v>
      </c>
      <c r="CS14" s="44" t="s">
        <v>206</v>
      </c>
      <c r="CT14" s="44" t="s">
        <v>206</v>
      </c>
      <c r="CU14" s="44" t="s">
        <v>206</v>
      </c>
      <c r="CV14" s="44" t="s">
        <v>206</v>
      </c>
      <c r="CW14" s="44" t="s">
        <v>206</v>
      </c>
      <c r="CX14" s="44" t="s">
        <v>207</v>
      </c>
      <c r="CY14" s="44" t="s">
        <v>207</v>
      </c>
      <c r="CZ14" s="44" t="s">
        <v>207</v>
      </c>
      <c r="DA14" s="44" t="s">
        <v>207</v>
      </c>
      <c r="DB14" s="44" t="s">
        <v>207</v>
      </c>
      <c r="DC14" s="44" t="s">
        <v>207</v>
      </c>
      <c r="DD14" s="44" t="s">
        <v>207</v>
      </c>
      <c r="DE14" s="44" t="s">
        <v>207</v>
      </c>
      <c r="DF14" s="44" t="s">
        <v>207</v>
      </c>
      <c r="DG14" s="44" t="s">
        <v>207</v>
      </c>
      <c r="DH14" s="44" t="s">
        <v>207</v>
      </c>
      <c r="DI14" s="44" t="s">
        <v>207</v>
      </c>
      <c r="DJ14" s="44" t="s">
        <v>207</v>
      </c>
      <c r="DK14" s="44" t="s">
        <v>207</v>
      </c>
      <c r="DL14" s="44" t="s">
        <v>207</v>
      </c>
      <c r="DM14" s="44" t="s">
        <v>207</v>
      </c>
      <c r="DN14" s="44" t="s">
        <v>207</v>
      </c>
      <c r="DO14" s="44" t="s">
        <v>207</v>
      </c>
      <c r="DP14" s="44" t="s">
        <v>207</v>
      </c>
      <c r="DQ14" s="44" t="s">
        <v>207</v>
      </c>
      <c r="DR14" s="44" t="s">
        <v>208</v>
      </c>
      <c r="DS14" s="44" t="s">
        <v>208</v>
      </c>
      <c r="DT14" s="44" t="s">
        <v>208</v>
      </c>
      <c r="DU14" s="44" t="s">
        <v>208</v>
      </c>
      <c r="DV14" s="44" t="s">
        <v>208</v>
      </c>
    </row>
    <row r="15" spans="1:126" x14ac:dyDescent="0.3">
      <c r="B15" s="45"/>
      <c r="C15" s="45"/>
      <c r="D15" s="45"/>
      <c r="E15" s="46" t="s">
        <v>106</v>
      </c>
      <c r="F15" s="48"/>
      <c r="G15" s="332">
        <v>0.81210000000000004</v>
      </c>
      <c r="H15" s="332">
        <v>0.81210000000000004</v>
      </c>
      <c r="I15" s="332">
        <v>0.81210000000000004</v>
      </c>
      <c r="J15" s="332">
        <v>0.81210000000000004</v>
      </c>
      <c r="K15" s="332">
        <v>0.81210000000000004</v>
      </c>
      <c r="L15" s="332">
        <v>0.79769999999999996</v>
      </c>
      <c r="M15" s="332">
        <v>0.79769999999999996</v>
      </c>
      <c r="N15" s="332">
        <v>0.79769999999999996</v>
      </c>
      <c r="O15" s="332">
        <v>0.79769999999999996</v>
      </c>
      <c r="P15" s="332">
        <v>0.79769999999999996</v>
      </c>
      <c r="Q15" s="332">
        <v>0.76070000000000004</v>
      </c>
      <c r="R15" s="332">
        <v>0.76070000000000004</v>
      </c>
      <c r="S15" s="332">
        <v>0.76070000000000004</v>
      </c>
      <c r="T15" s="332">
        <v>0.76070000000000004</v>
      </c>
      <c r="U15" s="332">
        <v>0.76070000000000004</v>
      </c>
      <c r="V15" s="332">
        <v>0.71970000000000001</v>
      </c>
      <c r="W15" s="332">
        <v>0.71970000000000001</v>
      </c>
      <c r="X15" s="332">
        <v>0.71970000000000001</v>
      </c>
      <c r="Y15" s="332">
        <v>0.71970000000000001</v>
      </c>
      <c r="Z15" s="332">
        <v>0.71970000000000001</v>
      </c>
      <c r="AA15" s="332">
        <v>0.71630000000000005</v>
      </c>
      <c r="AB15" s="332">
        <v>0.71630000000000005</v>
      </c>
      <c r="AC15" s="332">
        <v>0.71630000000000005</v>
      </c>
      <c r="AD15" s="332">
        <v>0.71630000000000005</v>
      </c>
      <c r="AE15" s="332">
        <v>0.71630000000000005</v>
      </c>
      <c r="AF15" s="332">
        <v>0.69979999999999998</v>
      </c>
      <c r="AG15" s="332">
        <v>0.69979999999999998</v>
      </c>
      <c r="AH15" s="332">
        <v>0.69979999999999998</v>
      </c>
      <c r="AI15" s="332">
        <v>0.69979999999999998</v>
      </c>
      <c r="AJ15" s="332">
        <v>0.69979999999999998</v>
      </c>
      <c r="AK15" s="332">
        <v>0.68620000000000003</v>
      </c>
      <c r="AL15" s="332">
        <v>0.68620000000000003</v>
      </c>
      <c r="AM15" s="332">
        <v>0.68620000000000003</v>
      </c>
      <c r="AN15" s="332">
        <v>0.68620000000000003</v>
      </c>
      <c r="AO15" s="332">
        <v>0.68620000000000003</v>
      </c>
      <c r="AP15" s="332">
        <v>0.61480000000000001</v>
      </c>
      <c r="AQ15" s="332">
        <v>0.61480000000000001</v>
      </c>
      <c r="AR15" s="332">
        <v>0.61480000000000001</v>
      </c>
      <c r="AS15" s="332">
        <v>0.61480000000000001</v>
      </c>
      <c r="AT15" s="332">
        <v>0.61480000000000001</v>
      </c>
      <c r="AU15" s="332">
        <v>0.60940000000000005</v>
      </c>
      <c r="AV15" s="332">
        <v>0.60940000000000005</v>
      </c>
      <c r="AW15" s="332">
        <v>0.60940000000000005</v>
      </c>
      <c r="AX15" s="332">
        <v>0.60940000000000005</v>
      </c>
      <c r="AY15" s="332">
        <v>0.60940000000000005</v>
      </c>
      <c r="AZ15" s="332">
        <v>0.63400000000000001</v>
      </c>
      <c r="BA15" s="332">
        <v>0.63400000000000001</v>
      </c>
      <c r="BB15" s="332">
        <v>0.63400000000000001</v>
      </c>
      <c r="BC15" s="332">
        <v>0.63400000000000001</v>
      </c>
      <c r="BD15" s="332">
        <v>0.63400000000000001</v>
      </c>
      <c r="BE15" s="332">
        <v>0.60319999999999996</v>
      </c>
      <c r="BF15" s="332">
        <v>0.60319999999999996</v>
      </c>
      <c r="BG15" s="332">
        <v>0.60319999999999996</v>
      </c>
      <c r="BH15" s="332">
        <v>0.60319999999999996</v>
      </c>
      <c r="BI15" s="332">
        <v>0.60319999999999996</v>
      </c>
      <c r="BJ15" s="332">
        <v>0.61</v>
      </c>
      <c r="BK15" s="332">
        <v>0.61</v>
      </c>
      <c r="BL15" s="332">
        <v>0.61</v>
      </c>
      <c r="BM15" s="332">
        <v>0.61</v>
      </c>
      <c r="BN15" s="332">
        <v>0.61</v>
      </c>
      <c r="BO15" s="332">
        <v>0.81210000000000004</v>
      </c>
      <c r="BP15" s="332">
        <v>0.81210000000000004</v>
      </c>
      <c r="BQ15" s="332">
        <v>0.81210000000000004</v>
      </c>
      <c r="BR15" s="332">
        <v>0.81210000000000004</v>
      </c>
      <c r="BS15" s="332">
        <v>0.81210000000000004</v>
      </c>
      <c r="BT15" s="332">
        <v>0.79769999999999996</v>
      </c>
      <c r="BU15" s="332">
        <v>0.79769999999999996</v>
      </c>
      <c r="BV15" s="332">
        <v>0.79769999999999996</v>
      </c>
      <c r="BW15" s="332">
        <v>0.79769999999999996</v>
      </c>
      <c r="BX15" s="332">
        <v>0.79769999999999996</v>
      </c>
      <c r="BY15" s="332">
        <v>0.76070000000000004</v>
      </c>
      <c r="BZ15" s="332">
        <v>0.76070000000000004</v>
      </c>
      <c r="CA15" s="332">
        <v>0.76070000000000004</v>
      </c>
      <c r="CB15" s="332">
        <v>0.76070000000000004</v>
      </c>
      <c r="CC15" s="332">
        <v>0.76070000000000004</v>
      </c>
      <c r="CD15" s="332">
        <v>0.71970000000000001</v>
      </c>
      <c r="CE15" s="332">
        <v>0.71970000000000001</v>
      </c>
      <c r="CF15" s="332">
        <v>0.71970000000000001</v>
      </c>
      <c r="CG15" s="332">
        <v>0.71970000000000001</v>
      </c>
      <c r="CH15" s="332">
        <v>0.71970000000000001</v>
      </c>
      <c r="CI15" s="332">
        <v>0.71630000000000005</v>
      </c>
      <c r="CJ15" s="332">
        <v>0.71630000000000005</v>
      </c>
      <c r="CK15" s="332">
        <v>0.71630000000000005</v>
      </c>
      <c r="CL15" s="332">
        <v>0.71630000000000005</v>
      </c>
      <c r="CM15" s="332">
        <v>0.71630000000000005</v>
      </c>
      <c r="CN15" s="332">
        <v>0.69979999999999998</v>
      </c>
      <c r="CO15" s="332">
        <v>0.69979999999999998</v>
      </c>
      <c r="CP15" s="332">
        <v>0.69979999999999998</v>
      </c>
      <c r="CQ15" s="332">
        <v>0.69979999999999998</v>
      </c>
      <c r="CR15" s="332">
        <v>0.69979999999999998</v>
      </c>
      <c r="CS15" s="332">
        <v>0.68620000000000003</v>
      </c>
      <c r="CT15" s="332">
        <v>0.68620000000000003</v>
      </c>
      <c r="CU15" s="332">
        <v>0.68620000000000003</v>
      </c>
      <c r="CV15" s="332">
        <v>0.68620000000000003</v>
      </c>
      <c r="CW15" s="332">
        <v>0.68620000000000003</v>
      </c>
      <c r="CX15" s="332">
        <v>0.61480000000000001</v>
      </c>
      <c r="CY15" s="332">
        <v>0.61480000000000001</v>
      </c>
      <c r="CZ15" s="332">
        <v>0.61480000000000001</v>
      </c>
      <c r="DA15" s="332">
        <v>0.61480000000000001</v>
      </c>
      <c r="DB15" s="332">
        <v>0.61480000000000001</v>
      </c>
      <c r="DC15" s="332">
        <v>0.60940000000000005</v>
      </c>
      <c r="DD15" s="332">
        <v>0.60940000000000005</v>
      </c>
      <c r="DE15" s="332">
        <v>0.60940000000000005</v>
      </c>
      <c r="DF15" s="332">
        <v>0.60940000000000005</v>
      </c>
      <c r="DG15" s="332">
        <v>0.60940000000000005</v>
      </c>
      <c r="DH15" s="332">
        <v>0.63400000000000001</v>
      </c>
      <c r="DI15" s="332">
        <v>0.63400000000000001</v>
      </c>
      <c r="DJ15" s="332">
        <v>0.63400000000000001</v>
      </c>
      <c r="DK15" s="332">
        <v>0.63400000000000001</v>
      </c>
      <c r="DL15" s="332">
        <v>0.63400000000000001</v>
      </c>
      <c r="DM15" s="332">
        <v>0.60319999999999996</v>
      </c>
      <c r="DN15" s="332">
        <v>0.60319999999999996</v>
      </c>
      <c r="DO15" s="332">
        <v>0.60319999999999996</v>
      </c>
      <c r="DP15" s="332">
        <v>0.60319999999999996</v>
      </c>
      <c r="DQ15" s="332">
        <v>0.60319999999999996</v>
      </c>
      <c r="DR15" s="332">
        <v>0.61</v>
      </c>
      <c r="DS15" s="332">
        <v>0.61</v>
      </c>
      <c r="DT15" s="332">
        <v>0.61</v>
      </c>
      <c r="DU15" s="332">
        <v>0.61</v>
      </c>
      <c r="DV15" s="332">
        <v>0.61</v>
      </c>
    </row>
    <row r="16" spans="1:126" x14ac:dyDescent="0.3">
      <c r="B16" s="45"/>
      <c r="C16" s="45"/>
      <c r="D16" s="45"/>
      <c r="E16" s="46" t="s">
        <v>105</v>
      </c>
      <c r="F16" s="48"/>
      <c r="G16" s="332">
        <v>0.94399999999999995</v>
      </c>
      <c r="H16" s="332">
        <v>0.94399999999999995</v>
      </c>
      <c r="I16" s="332">
        <v>0.94399999999999995</v>
      </c>
      <c r="J16" s="332">
        <v>0.94399999999999995</v>
      </c>
      <c r="K16" s="332">
        <v>0.85899999999999999</v>
      </c>
      <c r="L16" s="332">
        <v>0.92100000000000004</v>
      </c>
      <c r="M16" s="332">
        <v>0.92100000000000004</v>
      </c>
      <c r="N16" s="332">
        <v>0.92100000000000004</v>
      </c>
      <c r="O16" s="332">
        <v>0.92100000000000004</v>
      </c>
      <c r="P16" s="332">
        <v>0.83799999999999997</v>
      </c>
      <c r="Q16" s="332">
        <v>0.86299999999999999</v>
      </c>
      <c r="R16" s="332">
        <v>0.86299999999999999</v>
      </c>
      <c r="S16" s="332">
        <v>0.86299999999999999</v>
      </c>
      <c r="T16" s="332">
        <v>0.86299999999999999</v>
      </c>
      <c r="U16" s="332">
        <v>0.78600000000000003</v>
      </c>
      <c r="V16" s="332">
        <v>0.81</v>
      </c>
      <c r="W16" s="332">
        <v>0.81</v>
      </c>
      <c r="X16" s="332">
        <v>0.81</v>
      </c>
      <c r="Y16" s="332">
        <v>0.81</v>
      </c>
      <c r="Z16" s="332">
        <v>0.73699999999999999</v>
      </c>
      <c r="AA16" s="332">
        <v>0.80600000000000005</v>
      </c>
      <c r="AB16" s="332">
        <v>0.80600000000000005</v>
      </c>
      <c r="AC16" s="332">
        <v>0.80600000000000005</v>
      </c>
      <c r="AD16" s="332">
        <v>0.80600000000000005</v>
      </c>
      <c r="AE16" s="332">
        <v>0.73299999999999998</v>
      </c>
      <c r="AF16" s="332">
        <v>0.78700000000000003</v>
      </c>
      <c r="AG16" s="332">
        <v>0.78700000000000003</v>
      </c>
      <c r="AH16" s="332">
        <v>0.78700000000000003</v>
      </c>
      <c r="AI16" s="332">
        <v>0.78700000000000003</v>
      </c>
      <c r="AJ16" s="332">
        <v>0.71599999999999997</v>
      </c>
      <c r="AK16" s="332">
        <v>0.747</v>
      </c>
      <c r="AL16" s="332">
        <v>0.747</v>
      </c>
      <c r="AM16" s="332">
        <v>0.747</v>
      </c>
      <c r="AN16" s="332">
        <v>0.747</v>
      </c>
      <c r="AO16" s="332">
        <v>0.68</v>
      </c>
      <c r="AP16" s="332">
        <v>0.64900000000000002</v>
      </c>
      <c r="AQ16" s="332">
        <v>0.64900000000000002</v>
      </c>
      <c r="AR16" s="332">
        <v>0.64900000000000002</v>
      </c>
      <c r="AS16" s="332">
        <v>0.64900000000000002</v>
      </c>
      <c r="AT16" s="332">
        <v>0.59</v>
      </c>
      <c r="AU16" s="332">
        <v>0.66400000000000003</v>
      </c>
      <c r="AV16" s="332">
        <v>0.66400000000000003</v>
      </c>
      <c r="AW16" s="332">
        <v>0.66400000000000003</v>
      </c>
      <c r="AX16" s="332">
        <v>0.66400000000000003</v>
      </c>
      <c r="AY16" s="332">
        <v>0.60399999999999998</v>
      </c>
      <c r="AZ16" s="332">
        <v>0.70299999999999996</v>
      </c>
      <c r="BA16" s="332">
        <v>0.70299999999999996</v>
      </c>
      <c r="BB16" s="332">
        <v>0.70299999999999996</v>
      </c>
      <c r="BC16" s="332">
        <v>0.70299999999999996</v>
      </c>
      <c r="BD16" s="332">
        <v>0.64</v>
      </c>
      <c r="BE16" s="332">
        <v>0.63500000000000001</v>
      </c>
      <c r="BF16" s="332">
        <v>0.63500000000000001</v>
      </c>
      <c r="BG16" s="332">
        <v>0.63500000000000001</v>
      </c>
      <c r="BH16" s="332">
        <v>0.63500000000000001</v>
      </c>
      <c r="BI16" s="332">
        <v>0.57699999999999996</v>
      </c>
      <c r="BJ16" s="332">
        <v>0.59599999999999997</v>
      </c>
      <c r="BK16" s="332">
        <v>0.59599999999999997</v>
      </c>
      <c r="BL16" s="332">
        <v>0.59599999999999997</v>
      </c>
      <c r="BM16" s="332">
        <v>0.59599999999999997</v>
      </c>
      <c r="BN16" s="332">
        <v>0.54300000000000004</v>
      </c>
      <c r="BO16" s="332">
        <v>0.94399999999999995</v>
      </c>
      <c r="BP16" s="332">
        <v>0.94399999999999995</v>
      </c>
      <c r="BQ16" s="332">
        <v>0.94399999999999995</v>
      </c>
      <c r="BR16" s="332">
        <v>0.94399999999999995</v>
      </c>
      <c r="BS16" s="332">
        <v>0.85899999999999999</v>
      </c>
      <c r="BT16" s="332">
        <v>0.92100000000000004</v>
      </c>
      <c r="BU16" s="332">
        <v>0.92100000000000004</v>
      </c>
      <c r="BV16" s="332">
        <v>0.92100000000000004</v>
      </c>
      <c r="BW16" s="332">
        <v>0.92100000000000004</v>
      </c>
      <c r="BX16" s="332">
        <v>0.83799999999999997</v>
      </c>
      <c r="BY16" s="332">
        <v>0.86299999999999999</v>
      </c>
      <c r="BZ16" s="332">
        <v>0.86299999999999999</v>
      </c>
      <c r="CA16" s="332">
        <v>0.86299999999999999</v>
      </c>
      <c r="CB16" s="332">
        <v>0.86299999999999999</v>
      </c>
      <c r="CC16" s="332">
        <v>0.78600000000000003</v>
      </c>
      <c r="CD16" s="332">
        <v>0.81</v>
      </c>
      <c r="CE16" s="332">
        <v>0.81</v>
      </c>
      <c r="CF16" s="332">
        <v>0.81</v>
      </c>
      <c r="CG16" s="332">
        <v>0.81</v>
      </c>
      <c r="CH16" s="332">
        <v>0.73699999999999999</v>
      </c>
      <c r="CI16" s="332">
        <v>0.80600000000000005</v>
      </c>
      <c r="CJ16" s="332">
        <v>0.80600000000000005</v>
      </c>
      <c r="CK16" s="332">
        <v>0.80600000000000005</v>
      </c>
      <c r="CL16" s="332">
        <v>0.80600000000000005</v>
      </c>
      <c r="CM16" s="332">
        <v>0.73299999999999998</v>
      </c>
      <c r="CN16" s="332">
        <v>0.78700000000000003</v>
      </c>
      <c r="CO16" s="332">
        <v>0.78700000000000003</v>
      </c>
      <c r="CP16" s="332">
        <v>0.78700000000000003</v>
      </c>
      <c r="CQ16" s="332">
        <v>0.78700000000000003</v>
      </c>
      <c r="CR16" s="332">
        <v>0.71599999999999997</v>
      </c>
      <c r="CS16" s="332">
        <v>0.747</v>
      </c>
      <c r="CT16" s="332">
        <v>0.747</v>
      </c>
      <c r="CU16" s="332">
        <v>0.747</v>
      </c>
      <c r="CV16" s="332">
        <v>0.747</v>
      </c>
      <c r="CW16" s="332">
        <v>0.68</v>
      </c>
      <c r="CX16" s="332">
        <v>0.64900000000000002</v>
      </c>
      <c r="CY16" s="332">
        <v>0.64900000000000002</v>
      </c>
      <c r="CZ16" s="332">
        <v>0.64900000000000002</v>
      </c>
      <c r="DA16" s="332">
        <v>0.64900000000000002</v>
      </c>
      <c r="DB16" s="332">
        <v>0.59</v>
      </c>
      <c r="DC16" s="332">
        <v>0.66400000000000003</v>
      </c>
      <c r="DD16" s="332">
        <v>0.66400000000000003</v>
      </c>
      <c r="DE16" s="332">
        <v>0.66400000000000003</v>
      </c>
      <c r="DF16" s="332">
        <v>0.66400000000000003</v>
      </c>
      <c r="DG16" s="332">
        <v>0.60399999999999998</v>
      </c>
      <c r="DH16" s="332">
        <v>0.70299999999999996</v>
      </c>
      <c r="DI16" s="332">
        <v>0.70299999999999996</v>
      </c>
      <c r="DJ16" s="332">
        <v>0.70299999999999996</v>
      </c>
      <c r="DK16" s="332">
        <v>0.70299999999999996</v>
      </c>
      <c r="DL16" s="332">
        <v>0.64</v>
      </c>
      <c r="DM16" s="332">
        <v>0.63500000000000001</v>
      </c>
      <c r="DN16" s="332">
        <v>0.63500000000000001</v>
      </c>
      <c r="DO16" s="332">
        <v>0.63500000000000001</v>
      </c>
      <c r="DP16" s="332">
        <v>0.63500000000000001</v>
      </c>
      <c r="DQ16" s="332">
        <v>0.57699999999999996</v>
      </c>
      <c r="DR16" s="332">
        <v>0.59599999999999997</v>
      </c>
      <c r="DS16" s="332">
        <v>0.59599999999999997</v>
      </c>
      <c r="DT16" s="332">
        <v>0.59599999999999997</v>
      </c>
      <c r="DU16" s="332">
        <v>0.59599999999999997</v>
      </c>
      <c r="DV16" s="332">
        <v>0.54300000000000004</v>
      </c>
    </row>
    <row r="17" spans="1:126" s="289" customFormat="1" x14ac:dyDescent="0.3">
      <c r="A17" s="276"/>
      <c r="E17" s="290" t="s">
        <v>190</v>
      </c>
      <c r="F17" s="292"/>
      <c r="G17" s="332" t="s">
        <v>192</v>
      </c>
      <c r="H17" s="332" t="s">
        <v>192</v>
      </c>
      <c r="I17" s="332" t="s">
        <v>192</v>
      </c>
      <c r="J17" s="332" t="s">
        <v>192</v>
      </c>
      <c r="K17" s="332" t="s">
        <v>192</v>
      </c>
      <c r="L17" s="332" t="s">
        <v>192</v>
      </c>
      <c r="M17" s="332" t="s">
        <v>192</v>
      </c>
      <c r="N17" s="332" t="s">
        <v>192</v>
      </c>
      <c r="O17" s="332" t="s">
        <v>192</v>
      </c>
      <c r="P17" s="332" t="s">
        <v>192</v>
      </c>
      <c r="Q17" s="332" t="s">
        <v>191</v>
      </c>
      <c r="R17" s="332" t="s">
        <v>191</v>
      </c>
      <c r="S17" s="332" t="s">
        <v>191</v>
      </c>
      <c r="T17" s="332" t="s">
        <v>191</v>
      </c>
      <c r="U17" s="332" t="s">
        <v>191</v>
      </c>
      <c r="V17" s="332" t="s">
        <v>192</v>
      </c>
      <c r="W17" s="332" t="s">
        <v>192</v>
      </c>
      <c r="X17" s="332" t="s">
        <v>192</v>
      </c>
      <c r="Y17" s="332" t="s">
        <v>192</v>
      </c>
      <c r="Z17" s="332" t="s">
        <v>192</v>
      </c>
      <c r="AA17" s="332" t="s">
        <v>192</v>
      </c>
      <c r="AB17" s="332" t="s">
        <v>192</v>
      </c>
      <c r="AC17" s="332" t="s">
        <v>192</v>
      </c>
      <c r="AD17" s="332" t="s">
        <v>192</v>
      </c>
      <c r="AE17" s="332" t="s">
        <v>192</v>
      </c>
      <c r="AF17" s="332" t="s">
        <v>192</v>
      </c>
      <c r="AG17" s="332" t="s">
        <v>192</v>
      </c>
      <c r="AH17" s="332" t="s">
        <v>192</v>
      </c>
      <c r="AI17" s="332" t="s">
        <v>192</v>
      </c>
      <c r="AJ17" s="332" t="s">
        <v>192</v>
      </c>
      <c r="AK17" s="332" t="s">
        <v>191</v>
      </c>
      <c r="AL17" s="332" t="s">
        <v>191</v>
      </c>
      <c r="AM17" s="332" t="s">
        <v>191</v>
      </c>
      <c r="AN17" s="332" t="s">
        <v>191</v>
      </c>
      <c r="AO17" s="332" t="s">
        <v>191</v>
      </c>
      <c r="AP17" s="332" t="s">
        <v>192</v>
      </c>
      <c r="AQ17" s="332" t="s">
        <v>192</v>
      </c>
      <c r="AR17" s="332" t="s">
        <v>192</v>
      </c>
      <c r="AS17" s="332" t="s">
        <v>192</v>
      </c>
      <c r="AT17" s="332" t="s">
        <v>192</v>
      </c>
      <c r="AU17" s="332" t="s">
        <v>192</v>
      </c>
      <c r="AV17" s="332" t="s">
        <v>192</v>
      </c>
      <c r="AW17" s="332" t="s">
        <v>192</v>
      </c>
      <c r="AX17" s="332" t="s">
        <v>192</v>
      </c>
      <c r="AY17" s="332" t="s">
        <v>192</v>
      </c>
      <c r="AZ17" s="332" t="s">
        <v>192</v>
      </c>
      <c r="BA17" s="332" t="s">
        <v>192</v>
      </c>
      <c r="BB17" s="332" t="s">
        <v>192</v>
      </c>
      <c r="BC17" s="332" t="s">
        <v>192</v>
      </c>
      <c r="BD17" s="332" t="s">
        <v>192</v>
      </c>
      <c r="BE17" s="332" t="s">
        <v>192</v>
      </c>
      <c r="BF17" s="332" t="s">
        <v>192</v>
      </c>
      <c r="BG17" s="332" t="s">
        <v>192</v>
      </c>
      <c r="BH17" s="332" t="s">
        <v>192</v>
      </c>
      <c r="BI17" s="332" t="s">
        <v>192</v>
      </c>
      <c r="BJ17" s="332" t="s">
        <v>192</v>
      </c>
      <c r="BK17" s="332" t="s">
        <v>192</v>
      </c>
      <c r="BL17" s="332" t="s">
        <v>192</v>
      </c>
      <c r="BM17" s="332" t="s">
        <v>192</v>
      </c>
      <c r="BN17" s="332" t="s">
        <v>192</v>
      </c>
      <c r="BO17" s="332" t="s">
        <v>192</v>
      </c>
      <c r="BP17" s="332" t="s">
        <v>192</v>
      </c>
      <c r="BQ17" s="332" t="s">
        <v>192</v>
      </c>
      <c r="BR17" s="332" t="s">
        <v>192</v>
      </c>
      <c r="BS17" s="332" t="s">
        <v>192</v>
      </c>
      <c r="BT17" s="332" t="s">
        <v>192</v>
      </c>
      <c r="BU17" s="332" t="s">
        <v>192</v>
      </c>
      <c r="BV17" s="332" t="s">
        <v>192</v>
      </c>
      <c r="BW17" s="332" t="s">
        <v>192</v>
      </c>
      <c r="BX17" s="332" t="s">
        <v>192</v>
      </c>
      <c r="BY17" s="332" t="s">
        <v>191</v>
      </c>
      <c r="BZ17" s="332" t="s">
        <v>191</v>
      </c>
      <c r="CA17" s="332" t="s">
        <v>191</v>
      </c>
      <c r="CB17" s="332" t="s">
        <v>191</v>
      </c>
      <c r="CC17" s="332" t="s">
        <v>191</v>
      </c>
      <c r="CD17" s="332" t="s">
        <v>192</v>
      </c>
      <c r="CE17" s="332" t="s">
        <v>192</v>
      </c>
      <c r="CF17" s="332" t="s">
        <v>192</v>
      </c>
      <c r="CG17" s="332" t="s">
        <v>192</v>
      </c>
      <c r="CH17" s="332" t="s">
        <v>192</v>
      </c>
      <c r="CI17" s="332" t="s">
        <v>192</v>
      </c>
      <c r="CJ17" s="332" t="s">
        <v>192</v>
      </c>
      <c r="CK17" s="332" t="s">
        <v>192</v>
      </c>
      <c r="CL17" s="332" t="s">
        <v>192</v>
      </c>
      <c r="CM17" s="332" t="s">
        <v>192</v>
      </c>
      <c r="CN17" s="332" t="s">
        <v>192</v>
      </c>
      <c r="CO17" s="332" t="s">
        <v>192</v>
      </c>
      <c r="CP17" s="332" t="s">
        <v>192</v>
      </c>
      <c r="CQ17" s="332" t="s">
        <v>192</v>
      </c>
      <c r="CR17" s="332" t="s">
        <v>192</v>
      </c>
      <c r="CS17" s="332" t="s">
        <v>191</v>
      </c>
      <c r="CT17" s="332" t="s">
        <v>191</v>
      </c>
      <c r="CU17" s="332" t="s">
        <v>191</v>
      </c>
      <c r="CV17" s="332" t="s">
        <v>191</v>
      </c>
      <c r="CW17" s="332" t="s">
        <v>191</v>
      </c>
      <c r="CX17" s="332" t="s">
        <v>192</v>
      </c>
      <c r="CY17" s="332" t="s">
        <v>192</v>
      </c>
      <c r="CZ17" s="332" t="s">
        <v>192</v>
      </c>
      <c r="DA17" s="332" t="s">
        <v>192</v>
      </c>
      <c r="DB17" s="332" t="s">
        <v>192</v>
      </c>
      <c r="DC17" s="332" t="s">
        <v>192</v>
      </c>
      <c r="DD17" s="332" t="s">
        <v>192</v>
      </c>
      <c r="DE17" s="332" t="s">
        <v>192</v>
      </c>
      <c r="DF17" s="332" t="s">
        <v>192</v>
      </c>
      <c r="DG17" s="332" t="s">
        <v>192</v>
      </c>
      <c r="DH17" s="332" t="s">
        <v>192</v>
      </c>
      <c r="DI17" s="332" t="s">
        <v>192</v>
      </c>
      <c r="DJ17" s="332" t="s">
        <v>192</v>
      </c>
      <c r="DK17" s="332" t="s">
        <v>192</v>
      </c>
      <c r="DL17" s="332" t="s">
        <v>192</v>
      </c>
      <c r="DM17" s="332" t="s">
        <v>192</v>
      </c>
      <c r="DN17" s="332" t="s">
        <v>192</v>
      </c>
      <c r="DO17" s="332" t="s">
        <v>192</v>
      </c>
      <c r="DP17" s="332" t="s">
        <v>192</v>
      </c>
      <c r="DQ17" s="332" t="s">
        <v>192</v>
      </c>
      <c r="DR17" s="332" t="s">
        <v>192</v>
      </c>
      <c r="DS17" s="332" t="s">
        <v>192</v>
      </c>
      <c r="DT17" s="332" t="s">
        <v>192</v>
      </c>
      <c r="DU17" s="332" t="s">
        <v>192</v>
      </c>
      <c r="DV17" s="332" t="s">
        <v>192</v>
      </c>
    </row>
    <row r="18" spans="1:126" x14ac:dyDescent="0.3">
      <c r="B18" s="45"/>
      <c r="C18" s="45"/>
      <c r="D18" s="45"/>
      <c r="E18" s="46" t="s">
        <v>13</v>
      </c>
      <c r="F18" s="48"/>
      <c r="G18" s="332" t="s">
        <v>202</v>
      </c>
      <c r="H18" s="332" t="s">
        <v>202</v>
      </c>
      <c r="I18" s="332" t="s">
        <v>202</v>
      </c>
      <c r="J18" s="332" t="s">
        <v>202</v>
      </c>
      <c r="K18" s="332" t="s">
        <v>202</v>
      </c>
      <c r="L18" s="332" t="s">
        <v>202</v>
      </c>
      <c r="M18" s="332" t="s">
        <v>202</v>
      </c>
      <c r="N18" s="332" t="s">
        <v>202</v>
      </c>
      <c r="O18" s="332" t="s">
        <v>202</v>
      </c>
      <c r="P18" s="332" t="s">
        <v>202</v>
      </c>
      <c r="Q18" s="332" t="s">
        <v>202</v>
      </c>
      <c r="R18" s="332" t="s">
        <v>202</v>
      </c>
      <c r="S18" s="332" t="s">
        <v>202</v>
      </c>
      <c r="T18" s="332" t="s">
        <v>202</v>
      </c>
      <c r="U18" s="332" t="s">
        <v>202</v>
      </c>
      <c r="V18" s="332" t="s">
        <v>202</v>
      </c>
      <c r="W18" s="332" t="s">
        <v>202</v>
      </c>
      <c r="X18" s="332" t="s">
        <v>202</v>
      </c>
      <c r="Y18" s="332" t="s">
        <v>202</v>
      </c>
      <c r="Z18" s="332" t="s">
        <v>202</v>
      </c>
      <c r="AA18" s="332" t="s">
        <v>202</v>
      </c>
      <c r="AB18" s="332" t="s">
        <v>202</v>
      </c>
      <c r="AC18" s="332" t="s">
        <v>202</v>
      </c>
      <c r="AD18" s="332" t="s">
        <v>202</v>
      </c>
      <c r="AE18" s="332" t="s">
        <v>202</v>
      </c>
      <c r="AF18" s="332" t="s">
        <v>202</v>
      </c>
      <c r="AG18" s="332" t="s">
        <v>202</v>
      </c>
      <c r="AH18" s="332" t="s">
        <v>202</v>
      </c>
      <c r="AI18" s="332" t="s">
        <v>202</v>
      </c>
      <c r="AJ18" s="332" t="s">
        <v>202</v>
      </c>
      <c r="AK18" s="332" t="s">
        <v>202</v>
      </c>
      <c r="AL18" s="332" t="s">
        <v>202</v>
      </c>
      <c r="AM18" s="332" t="s">
        <v>202</v>
      </c>
      <c r="AN18" s="332" t="s">
        <v>202</v>
      </c>
      <c r="AO18" s="332" t="s">
        <v>202</v>
      </c>
      <c r="AP18" s="332" t="s">
        <v>202</v>
      </c>
      <c r="AQ18" s="332" t="s">
        <v>202</v>
      </c>
      <c r="AR18" s="332" t="s">
        <v>202</v>
      </c>
      <c r="AS18" s="332" t="s">
        <v>202</v>
      </c>
      <c r="AT18" s="332" t="s">
        <v>202</v>
      </c>
      <c r="AU18" s="332" t="s">
        <v>202</v>
      </c>
      <c r="AV18" s="332" t="s">
        <v>202</v>
      </c>
      <c r="AW18" s="332" t="s">
        <v>202</v>
      </c>
      <c r="AX18" s="332" t="s">
        <v>202</v>
      </c>
      <c r="AY18" s="332" t="s">
        <v>202</v>
      </c>
      <c r="AZ18" s="332" t="s">
        <v>202</v>
      </c>
      <c r="BA18" s="332" t="s">
        <v>202</v>
      </c>
      <c r="BB18" s="332" t="s">
        <v>202</v>
      </c>
      <c r="BC18" s="332" t="s">
        <v>202</v>
      </c>
      <c r="BD18" s="332" t="s">
        <v>202</v>
      </c>
      <c r="BE18" s="332" t="s">
        <v>202</v>
      </c>
      <c r="BF18" s="332" t="s">
        <v>202</v>
      </c>
      <c r="BG18" s="332" t="s">
        <v>202</v>
      </c>
      <c r="BH18" s="332" t="s">
        <v>202</v>
      </c>
      <c r="BI18" s="332" t="s">
        <v>202</v>
      </c>
      <c r="BJ18" s="332" t="s">
        <v>202</v>
      </c>
      <c r="BK18" s="332" t="s">
        <v>202</v>
      </c>
      <c r="BL18" s="332" t="s">
        <v>202</v>
      </c>
      <c r="BM18" s="332" t="s">
        <v>202</v>
      </c>
      <c r="BN18" s="332" t="s">
        <v>202</v>
      </c>
      <c r="BO18" s="332" t="s">
        <v>202</v>
      </c>
      <c r="BP18" s="332" t="s">
        <v>202</v>
      </c>
      <c r="BQ18" s="332" t="s">
        <v>202</v>
      </c>
      <c r="BR18" s="332" t="s">
        <v>202</v>
      </c>
      <c r="BS18" s="332" t="s">
        <v>202</v>
      </c>
      <c r="BT18" s="332" t="s">
        <v>202</v>
      </c>
      <c r="BU18" s="332" t="s">
        <v>202</v>
      </c>
      <c r="BV18" s="332" t="s">
        <v>202</v>
      </c>
      <c r="BW18" s="332" t="s">
        <v>202</v>
      </c>
      <c r="BX18" s="332" t="s">
        <v>202</v>
      </c>
      <c r="BY18" s="332" t="s">
        <v>202</v>
      </c>
      <c r="BZ18" s="332" t="s">
        <v>202</v>
      </c>
      <c r="CA18" s="332" t="s">
        <v>202</v>
      </c>
      <c r="CB18" s="332" t="s">
        <v>202</v>
      </c>
      <c r="CC18" s="332" t="s">
        <v>202</v>
      </c>
      <c r="CD18" s="332" t="s">
        <v>202</v>
      </c>
      <c r="CE18" s="332" t="s">
        <v>202</v>
      </c>
      <c r="CF18" s="332" t="s">
        <v>202</v>
      </c>
      <c r="CG18" s="332" t="s">
        <v>202</v>
      </c>
      <c r="CH18" s="332" t="s">
        <v>202</v>
      </c>
      <c r="CI18" s="332" t="s">
        <v>202</v>
      </c>
      <c r="CJ18" s="332" t="s">
        <v>202</v>
      </c>
      <c r="CK18" s="332" t="s">
        <v>202</v>
      </c>
      <c r="CL18" s="332" t="s">
        <v>202</v>
      </c>
      <c r="CM18" s="332" t="s">
        <v>202</v>
      </c>
      <c r="CN18" s="332" t="s">
        <v>202</v>
      </c>
      <c r="CO18" s="332" t="s">
        <v>202</v>
      </c>
      <c r="CP18" s="332" t="s">
        <v>202</v>
      </c>
      <c r="CQ18" s="332" t="s">
        <v>202</v>
      </c>
      <c r="CR18" s="332" t="s">
        <v>202</v>
      </c>
      <c r="CS18" s="332" t="s">
        <v>202</v>
      </c>
      <c r="CT18" s="332" t="s">
        <v>202</v>
      </c>
      <c r="CU18" s="332" t="s">
        <v>202</v>
      </c>
      <c r="CV18" s="332" t="s">
        <v>202</v>
      </c>
      <c r="CW18" s="332" t="s">
        <v>202</v>
      </c>
      <c r="CX18" s="332" t="s">
        <v>202</v>
      </c>
      <c r="CY18" s="332" t="s">
        <v>202</v>
      </c>
      <c r="CZ18" s="332" t="s">
        <v>202</v>
      </c>
      <c r="DA18" s="332" t="s">
        <v>202</v>
      </c>
      <c r="DB18" s="332" t="s">
        <v>202</v>
      </c>
      <c r="DC18" s="332" t="s">
        <v>202</v>
      </c>
      <c r="DD18" s="332" t="s">
        <v>202</v>
      </c>
      <c r="DE18" s="332" t="s">
        <v>202</v>
      </c>
      <c r="DF18" s="332" t="s">
        <v>202</v>
      </c>
      <c r="DG18" s="332" t="s">
        <v>202</v>
      </c>
      <c r="DH18" s="332" t="s">
        <v>202</v>
      </c>
      <c r="DI18" s="332" t="s">
        <v>202</v>
      </c>
      <c r="DJ18" s="332" t="s">
        <v>202</v>
      </c>
      <c r="DK18" s="332" t="s">
        <v>202</v>
      </c>
      <c r="DL18" s="332" t="s">
        <v>202</v>
      </c>
      <c r="DM18" s="332" t="s">
        <v>202</v>
      </c>
      <c r="DN18" s="332" t="s">
        <v>202</v>
      </c>
      <c r="DO18" s="332" t="s">
        <v>202</v>
      </c>
      <c r="DP18" s="332" t="s">
        <v>202</v>
      </c>
      <c r="DQ18" s="332" t="s">
        <v>202</v>
      </c>
      <c r="DR18" s="332" t="s">
        <v>202</v>
      </c>
      <c r="DS18" s="332" t="s">
        <v>202</v>
      </c>
      <c r="DT18" s="332" t="s">
        <v>202</v>
      </c>
      <c r="DU18" s="332" t="s">
        <v>202</v>
      </c>
      <c r="DV18" s="332" t="s">
        <v>202</v>
      </c>
    </row>
    <row r="19" spans="1:126" ht="45.6" customHeight="1" x14ac:dyDescent="0.3">
      <c r="B19" s="45"/>
      <c r="C19" s="45"/>
      <c r="D19" s="45"/>
      <c r="E19" s="49" t="s">
        <v>18</v>
      </c>
      <c r="F19" s="50"/>
      <c r="G19" s="287" t="s">
        <v>209</v>
      </c>
      <c r="H19" s="287" t="s">
        <v>209</v>
      </c>
      <c r="I19" s="287" t="s">
        <v>209</v>
      </c>
      <c r="J19" s="287" t="s">
        <v>209</v>
      </c>
      <c r="K19" s="287" t="s">
        <v>210</v>
      </c>
      <c r="L19" s="287" t="s">
        <v>211</v>
      </c>
      <c r="M19" s="287" t="s">
        <v>211</v>
      </c>
      <c r="N19" s="287" t="s">
        <v>211</v>
      </c>
      <c r="O19" s="287" t="s">
        <v>211</v>
      </c>
      <c r="P19" s="287" t="s">
        <v>212</v>
      </c>
      <c r="Q19" s="287" t="s">
        <v>213</v>
      </c>
      <c r="R19" s="287" t="s">
        <v>213</v>
      </c>
      <c r="S19" s="287" t="s">
        <v>213</v>
      </c>
      <c r="T19" s="287" t="s">
        <v>213</v>
      </c>
      <c r="U19" s="287" t="s">
        <v>214</v>
      </c>
      <c r="V19" s="287" t="s">
        <v>215</v>
      </c>
      <c r="W19" s="287" t="s">
        <v>215</v>
      </c>
      <c r="X19" s="287" t="s">
        <v>215</v>
      </c>
      <c r="Y19" s="287" t="s">
        <v>215</v>
      </c>
      <c r="Z19" s="287" t="s">
        <v>216</v>
      </c>
      <c r="AA19" s="287" t="s">
        <v>217</v>
      </c>
      <c r="AB19" s="287" t="s">
        <v>217</v>
      </c>
      <c r="AC19" s="287" t="s">
        <v>217</v>
      </c>
      <c r="AD19" s="287" t="s">
        <v>217</v>
      </c>
      <c r="AE19" s="287" t="s">
        <v>218</v>
      </c>
      <c r="AF19" s="287" t="s">
        <v>219</v>
      </c>
      <c r="AG19" s="287" t="s">
        <v>219</v>
      </c>
      <c r="AH19" s="287" t="s">
        <v>219</v>
      </c>
      <c r="AI19" s="287" t="s">
        <v>219</v>
      </c>
      <c r="AJ19" s="287" t="s">
        <v>220</v>
      </c>
      <c r="AK19" s="287" t="s">
        <v>221</v>
      </c>
      <c r="AL19" s="287" t="s">
        <v>221</v>
      </c>
      <c r="AM19" s="287" t="s">
        <v>221</v>
      </c>
      <c r="AN19" s="287" t="s">
        <v>221</v>
      </c>
      <c r="AO19" s="287" t="s">
        <v>222</v>
      </c>
      <c r="AP19" s="287" t="s">
        <v>223</v>
      </c>
      <c r="AQ19" s="287" t="s">
        <v>223</v>
      </c>
      <c r="AR19" s="287" t="s">
        <v>223</v>
      </c>
      <c r="AS19" s="287" t="s">
        <v>223</v>
      </c>
      <c r="AT19" s="287" t="s">
        <v>224</v>
      </c>
      <c r="AU19" s="287" t="s">
        <v>225</v>
      </c>
      <c r="AV19" s="287" t="s">
        <v>225</v>
      </c>
      <c r="AW19" s="287" t="s">
        <v>225</v>
      </c>
      <c r="AX19" s="287" t="s">
        <v>225</v>
      </c>
      <c r="AY19" s="287" t="s">
        <v>226</v>
      </c>
      <c r="AZ19" s="287" t="s">
        <v>227</v>
      </c>
      <c r="BA19" s="287" t="s">
        <v>227</v>
      </c>
      <c r="BB19" s="287" t="s">
        <v>227</v>
      </c>
      <c r="BC19" s="287" t="s">
        <v>227</v>
      </c>
      <c r="BD19" s="287" t="s">
        <v>228</v>
      </c>
      <c r="BE19" s="287" t="s">
        <v>229</v>
      </c>
      <c r="BF19" s="287" t="s">
        <v>229</v>
      </c>
      <c r="BG19" s="287" t="s">
        <v>229</v>
      </c>
      <c r="BH19" s="287" t="s">
        <v>229</v>
      </c>
      <c r="BI19" s="287" t="s">
        <v>230</v>
      </c>
      <c r="BJ19" s="287" t="s">
        <v>231</v>
      </c>
      <c r="BK19" s="287" t="s">
        <v>231</v>
      </c>
      <c r="BL19" s="287" t="s">
        <v>231</v>
      </c>
      <c r="BM19" s="287" t="s">
        <v>232</v>
      </c>
      <c r="BN19" s="287" t="s">
        <v>233</v>
      </c>
      <c r="BO19" s="287" t="s">
        <v>209</v>
      </c>
      <c r="BP19" s="287" t="s">
        <v>209</v>
      </c>
      <c r="BQ19" s="287" t="s">
        <v>209</v>
      </c>
      <c r="BR19" s="287" t="s">
        <v>209</v>
      </c>
      <c r="BS19" s="287" t="s">
        <v>210</v>
      </c>
      <c r="BT19" s="287" t="s">
        <v>211</v>
      </c>
      <c r="BU19" s="287" t="s">
        <v>211</v>
      </c>
      <c r="BV19" s="287" t="s">
        <v>211</v>
      </c>
      <c r="BW19" s="287" t="s">
        <v>211</v>
      </c>
      <c r="BX19" s="287" t="s">
        <v>212</v>
      </c>
      <c r="BY19" s="287" t="s">
        <v>213</v>
      </c>
      <c r="BZ19" s="287" t="s">
        <v>213</v>
      </c>
      <c r="CA19" s="287" t="s">
        <v>213</v>
      </c>
      <c r="CB19" s="287" t="s">
        <v>213</v>
      </c>
      <c r="CC19" s="287" t="s">
        <v>214</v>
      </c>
      <c r="CD19" s="287" t="s">
        <v>215</v>
      </c>
      <c r="CE19" s="287" t="s">
        <v>215</v>
      </c>
      <c r="CF19" s="287" t="s">
        <v>215</v>
      </c>
      <c r="CG19" s="287" t="s">
        <v>215</v>
      </c>
      <c r="CH19" s="287" t="s">
        <v>216</v>
      </c>
      <c r="CI19" s="287" t="s">
        <v>217</v>
      </c>
      <c r="CJ19" s="287" t="s">
        <v>217</v>
      </c>
      <c r="CK19" s="287" t="s">
        <v>217</v>
      </c>
      <c r="CL19" s="287" t="s">
        <v>217</v>
      </c>
      <c r="CM19" s="287" t="s">
        <v>218</v>
      </c>
      <c r="CN19" s="287" t="s">
        <v>219</v>
      </c>
      <c r="CO19" s="287" t="s">
        <v>219</v>
      </c>
      <c r="CP19" s="287" t="s">
        <v>219</v>
      </c>
      <c r="CQ19" s="287" t="s">
        <v>219</v>
      </c>
      <c r="CR19" s="287" t="s">
        <v>220</v>
      </c>
      <c r="CS19" s="287" t="s">
        <v>221</v>
      </c>
      <c r="CT19" s="287" t="s">
        <v>221</v>
      </c>
      <c r="CU19" s="287" t="s">
        <v>221</v>
      </c>
      <c r="CV19" s="287" t="s">
        <v>221</v>
      </c>
      <c r="CW19" s="287" t="s">
        <v>222</v>
      </c>
      <c r="CX19" s="287" t="s">
        <v>223</v>
      </c>
      <c r="CY19" s="287" t="s">
        <v>223</v>
      </c>
      <c r="CZ19" s="287" t="s">
        <v>223</v>
      </c>
      <c r="DA19" s="287" t="s">
        <v>223</v>
      </c>
      <c r="DB19" s="287" t="s">
        <v>224</v>
      </c>
      <c r="DC19" s="287" t="s">
        <v>225</v>
      </c>
      <c r="DD19" s="287" t="s">
        <v>225</v>
      </c>
      <c r="DE19" s="287" t="s">
        <v>225</v>
      </c>
      <c r="DF19" s="287" t="s">
        <v>225</v>
      </c>
      <c r="DG19" s="287" t="s">
        <v>226</v>
      </c>
      <c r="DH19" s="287" t="s">
        <v>227</v>
      </c>
      <c r="DI19" s="287" t="s">
        <v>227</v>
      </c>
      <c r="DJ19" s="287" t="s">
        <v>227</v>
      </c>
      <c r="DK19" s="287" t="s">
        <v>227</v>
      </c>
      <c r="DL19" s="287" t="s">
        <v>228</v>
      </c>
      <c r="DM19" s="287" t="s">
        <v>229</v>
      </c>
      <c r="DN19" s="287" t="s">
        <v>229</v>
      </c>
      <c r="DO19" s="287" t="s">
        <v>229</v>
      </c>
      <c r="DP19" s="287" t="s">
        <v>229</v>
      </c>
      <c r="DQ19" s="287" t="s">
        <v>230</v>
      </c>
      <c r="DR19" s="287" t="s">
        <v>231</v>
      </c>
      <c r="DS19" s="287" t="s">
        <v>231</v>
      </c>
      <c r="DT19" s="287" t="s">
        <v>231</v>
      </c>
      <c r="DU19" s="287" t="s">
        <v>231</v>
      </c>
      <c r="DV19" s="287" t="s">
        <v>232</v>
      </c>
    </row>
    <row r="20" spans="1:126" x14ac:dyDescent="0.3">
      <c r="B20" s="45"/>
      <c r="C20" s="45"/>
      <c r="D20" s="45"/>
      <c r="E20" s="46" t="s">
        <v>179</v>
      </c>
      <c r="F20" s="46"/>
      <c r="G20" s="361" t="s">
        <v>234</v>
      </c>
      <c r="H20" s="361" t="s">
        <v>235</v>
      </c>
      <c r="I20" s="361" t="s">
        <v>236</v>
      </c>
      <c r="J20" s="361" t="s">
        <v>237</v>
      </c>
      <c r="K20" s="361" t="s">
        <v>238</v>
      </c>
      <c r="L20" s="361" t="s">
        <v>239</v>
      </c>
      <c r="M20" s="361" t="s">
        <v>240</v>
      </c>
      <c r="N20" s="361" t="s">
        <v>241</v>
      </c>
      <c r="O20" s="361" t="s">
        <v>242</v>
      </c>
      <c r="P20" s="361" t="s">
        <v>243</v>
      </c>
      <c r="Q20" s="361" t="s">
        <v>244</v>
      </c>
      <c r="R20" s="361" t="s">
        <v>245</v>
      </c>
      <c r="S20" s="361" t="s">
        <v>246</v>
      </c>
      <c r="T20" s="361" t="s">
        <v>247</v>
      </c>
      <c r="U20" s="361" t="s">
        <v>248</v>
      </c>
      <c r="V20" s="361" t="s">
        <v>249</v>
      </c>
      <c r="W20" s="361" t="s">
        <v>250</v>
      </c>
      <c r="X20" s="361" t="s">
        <v>251</v>
      </c>
      <c r="Y20" s="361" t="s">
        <v>252</v>
      </c>
      <c r="Z20" s="361" t="s">
        <v>253</v>
      </c>
      <c r="AA20" s="361" t="s">
        <v>254</v>
      </c>
      <c r="AB20" s="361" t="s">
        <v>255</v>
      </c>
      <c r="AC20" s="361" t="s">
        <v>256</v>
      </c>
      <c r="AD20" s="361" t="s">
        <v>257</v>
      </c>
      <c r="AE20" s="361" t="s">
        <v>258</v>
      </c>
      <c r="AF20" s="361" t="s">
        <v>259</v>
      </c>
      <c r="AG20" s="361" t="s">
        <v>260</v>
      </c>
      <c r="AH20" s="361" t="s">
        <v>261</v>
      </c>
      <c r="AI20" s="361" t="s">
        <v>262</v>
      </c>
      <c r="AJ20" s="361" t="s">
        <v>263</v>
      </c>
      <c r="AK20" s="361" t="s">
        <v>264</v>
      </c>
      <c r="AL20" s="361" t="s">
        <v>265</v>
      </c>
      <c r="AM20" s="361" t="s">
        <v>266</v>
      </c>
      <c r="AN20" s="361" t="s">
        <v>267</v>
      </c>
      <c r="AO20" s="361" t="s">
        <v>268</v>
      </c>
      <c r="AP20" s="361" t="s">
        <v>269</v>
      </c>
      <c r="AQ20" s="361" t="s">
        <v>270</v>
      </c>
      <c r="AR20" s="361" t="s">
        <v>271</v>
      </c>
      <c r="AS20" s="361" t="s">
        <v>272</v>
      </c>
      <c r="AT20" s="361" t="s">
        <v>273</v>
      </c>
      <c r="AU20" s="361" t="s">
        <v>274</v>
      </c>
      <c r="AV20" s="361" t="s">
        <v>275</v>
      </c>
      <c r="AW20" s="361" t="s">
        <v>276</v>
      </c>
      <c r="AX20" s="361" t="s">
        <v>277</v>
      </c>
      <c r="AY20" s="361" t="s">
        <v>278</v>
      </c>
      <c r="AZ20" s="361" t="s">
        <v>279</v>
      </c>
      <c r="BA20" s="361" t="s">
        <v>280</v>
      </c>
      <c r="BB20" s="361" t="s">
        <v>281</v>
      </c>
      <c r="BC20" s="361" t="s">
        <v>282</v>
      </c>
      <c r="BD20" s="361" t="s">
        <v>283</v>
      </c>
      <c r="BE20" s="361" t="s">
        <v>284</v>
      </c>
      <c r="BF20" s="361" t="s">
        <v>285</v>
      </c>
      <c r="BG20" s="361" t="s">
        <v>286</v>
      </c>
      <c r="BH20" s="361" t="s">
        <v>287</v>
      </c>
      <c r="BI20" s="361" t="s">
        <v>288</v>
      </c>
      <c r="BJ20" s="361" t="s">
        <v>289</v>
      </c>
      <c r="BK20" s="361" t="s">
        <v>290</v>
      </c>
      <c r="BL20" s="361" t="s">
        <v>291</v>
      </c>
      <c r="BM20" s="361" t="s">
        <v>292</v>
      </c>
      <c r="BN20" s="361" t="s">
        <v>293</v>
      </c>
      <c r="BO20" s="361" t="s">
        <v>294</v>
      </c>
      <c r="BP20" s="361" t="s">
        <v>295</v>
      </c>
      <c r="BQ20" s="361" t="s">
        <v>296</v>
      </c>
      <c r="BR20" s="361" t="s">
        <v>297</v>
      </c>
      <c r="BS20" s="361" t="s">
        <v>298</v>
      </c>
      <c r="BT20" s="361" t="s">
        <v>299</v>
      </c>
      <c r="BU20" s="361" t="s">
        <v>300</v>
      </c>
      <c r="BV20" s="361" t="s">
        <v>301</v>
      </c>
      <c r="BW20" s="361" t="s">
        <v>302</v>
      </c>
      <c r="BX20" s="361" t="s">
        <v>303</v>
      </c>
      <c r="BY20" s="361" t="s">
        <v>304</v>
      </c>
      <c r="BZ20" s="361" t="s">
        <v>305</v>
      </c>
      <c r="CA20" s="361" t="s">
        <v>306</v>
      </c>
      <c r="CB20" s="361" t="s">
        <v>307</v>
      </c>
      <c r="CC20" s="361" t="s">
        <v>308</v>
      </c>
      <c r="CD20" s="361" t="s">
        <v>309</v>
      </c>
      <c r="CE20" s="361" t="s">
        <v>310</v>
      </c>
      <c r="CF20" s="361" t="s">
        <v>311</v>
      </c>
      <c r="CG20" s="361" t="s">
        <v>312</v>
      </c>
      <c r="CH20" s="361" t="s">
        <v>313</v>
      </c>
      <c r="CI20" s="361" t="s">
        <v>314</v>
      </c>
      <c r="CJ20" s="361" t="s">
        <v>315</v>
      </c>
      <c r="CK20" s="361" t="s">
        <v>316</v>
      </c>
      <c r="CL20" s="361" t="s">
        <v>317</v>
      </c>
      <c r="CM20" s="361" t="s">
        <v>318</v>
      </c>
      <c r="CN20" s="361" t="s">
        <v>319</v>
      </c>
      <c r="CO20" s="361" t="s">
        <v>320</v>
      </c>
      <c r="CP20" s="361" t="s">
        <v>321</v>
      </c>
      <c r="CQ20" s="361" t="s">
        <v>322</v>
      </c>
      <c r="CR20" s="361" t="s">
        <v>323</v>
      </c>
      <c r="CS20" s="361" t="s">
        <v>324</v>
      </c>
      <c r="CT20" s="361" t="s">
        <v>325</v>
      </c>
      <c r="CU20" s="361" t="s">
        <v>326</v>
      </c>
      <c r="CV20" s="361" t="s">
        <v>327</v>
      </c>
      <c r="CW20" s="361" t="s">
        <v>328</v>
      </c>
      <c r="CX20" s="361" t="s">
        <v>329</v>
      </c>
      <c r="CY20" s="361" t="s">
        <v>330</v>
      </c>
      <c r="CZ20" s="361" t="s">
        <v>331</v>
      </c>
      <c r="DA20" s="361" t="s">
        <v>332</v>
      </c>
      <c r="DB20" s="361" t="s">
        <v>333</v>
      </c>
      <c r="DC20" s="361" t="s">
        <v>334</v>
      </c>
      <c r="DD20" s="361" t="s">
        <v>335</v>
      </c>
      <c r="DE20" s="361" t="s">
        <v>336</v>
      </c>
      <c r="DF20" s="361" t="s">
        <v>337</v>
      </c>
      <c r="DG20" s="361" t="s">
        <v>338</v>
      </c>
      <c r="DH20" s="361" t="s">
        <v>339</v>
      </c>
      <c r="DI20" s="361" t="s">
        <v>340</v>
      </c>
      <c r="DJ20" s="361" t="s">
        <v>341</v>
      </c>
      <c r="DK20" s="361" t="s">
        <v>342</v>
      </c>
      <c r="DL20" s="361" t="s">
        <v>343</v>
      </c>
      <c r="DM20" s="361" t="s">
        <v>344</v>
      </c>
      <c r="DN20" s="361" t="s">
        <v>345</v>
      </c>
      <c r="DO20" s="361" t="s">
        <v>346</v>
      </c>
      <c r="DP20" s="361" t="s">
        <v>347</v>
      </c>
      <c r="DQ20" s="361" t="s">
        <v>348</v>
      </c>
      <c r="DR20" s="361" t="s">
        <v>349</v>
      </c>
      <c r="DS20" s="361" t="s">
        <v>350</v>
      </c>
      <c r="DT20" s="361" t="s">
        <v>351</v>
      </c>
      <c r="DU20" s="361" t="s">
        <v>352</v>
      </c>
      <c r="DV20" s="361" t="s">
        <v>353</v>
      </c>
    </row>
    <row r="21" spans="1:126" x14ac:dyDescent="0.3">
      <c r="B21" s="45"/>
      <c r="C21" s="45"/>
      <c r="D21" s="45"/>
      <c r="E21" s="46" t="s">
        <v>28</v>
      </c>
      <c r="F21" s="51"/>
      <c r="G21" s="288" t="s">
        <v>354</v>
      </c>
      <c r="H21" s="288" t="s">
        <v>354</v>
      </c>
      <c r="I21" s="288" t="s">
        <v>354</v>
      </c>
      <c r="J21" s="288" t="s">
        <v>354</v>
      </c>
      <c r="K21" s="288" t="s">
        <v>354</v>
      </c>
      <c r="L21" s="288" t="s">
        <v>354</v>
      </c>
      <c r="M21" s="288" t="s">
        <v>354</v>
      </c>
      <c r="N21" s="288" t="s">
        <v>354</v>
      </c>
      <c r="O21" s="288" t="s">
        <v>354</v>
      </c>
      <c r="P21" s="288" t="s">
        <v>354</v>
      </c>
      <c r="Q21" s="288" t="s">
        <v>354</v>
      </c>
      <c r="R21" s="288" t="s">
        <v>354</v>
      </c>
      <c r="S21" s="288" t="s">
        <v>354</v>
      </c>
      <c r="T21" s="288" t="s">
        <v>354</v>
      </c>
      <c r="U21" s="288" t="s">
        <v>354</v>
      </c>
      <c r="V21" s="288" t="s">
        <v>354</v>
      </c>
      <c r="W21" s="288" t="s">
        <v>354</v>
      </c>
      <c r="X21" s="288" t="s">
        <v>354</v>
      </c>
      <c r="Y21" s="288" t="s">
        <v>354</v>
      </c>
      <c r="Z21" s="288" t="s">
        <v>354</v>
      </c>
      <c r="AA21" s="288" t="s">
        <v>354</v>
      </c>
      <c r="AB21" s="288" t="s">
        <v>354</v>
      </c>
      <c r="AC21" s="288" t="s">
        <v>354</v>
      </c>
      <c r="AD21" s="288" t="s">
        <v>354</v>
      </c>
      <c r="AE21" s="288" t="s">
        <v>354</v>
      </c>
      <c r="AF21" s="288" t="s">
        <v>354</v>
      </c>
      <c r="AG21" s="288" t="s">
        <v>354</v>
      </c>
      <c r="AH21" s="288" t="s">
        <v>354</v>
      </c>
      <c r="AI21" s="288" t="s">
        <v>354</v>
      </c>
      <c r="AJ21" s="288" t="s">
        <v>354</v>
      </c>
      <c r="AK21" s="288" t="s">
        <v>354</v>
      </c>
      <c r="AL21" s="288" t="s">
        <v>354</v>
      </c>
      <c r="AM21" s="288" t="s">
        <v>354</v>
      </c>
      <c r="AN21" s="288" t="s">
        <v>354</v>
      </c>
      <c r="AO21" s="288" t="s">
        <v>354</v>
      </c>
      <c r="AP21" s="288" t="s">
        <v>354</v>
      </c>
      <c r="AQ21" s="288" t="s">
        <v>354</v>
      </c>
      <c r="AR21" s="288" t="s">
        <v>354</v>
      </c>
      <c r="AS21" s="288" t="s">
        <v>354</v>
      </c>
      <c r="AT21" s="288" t="s">
        <v>354</v>
      </c>
      <c r="AU21" s="288" t="s">
        <v>354</v>
      </c>
      <c r="AV21" s="288" t="s">
        <v>354</v>
      </c>
      <c r="AW21" s="288" t="s">
        <v>354</v>
      </c>
      <c r="AX21" s="288" t="s">
        <v>354</v>
      </c>
      <c r="AY21" s="288" t="s">
        <v>354</v>
      </c>
      <c r="AZ21" s="288" t="s">
        <v>354</v>
      </c>
      <c r="BA21" s="288" t="s">
        <v>354</v>
      </c>
      <c r="BB21" s="288" t="s">
        <v>354</v>
      </c>
      <c r="BC21" s="288" t="s">
        <v>354</v>
      </c>
      <c r="BD21" s="288" t="s">
        <v>354</v>
      </c>
      <c r="BE21" s="288" t="s">
        <v>354</v>
      </c>
      <c r="BF21" s="288" t="s">
        <v>354</v>
      </c>
      <c r="BG21" s="288" t="s">
        <v>354</v>
      </c>
      <c r="BH21" s="288" t="s">
        <v>354</v>
      </c>
      <c r="BI21" s="288" t="s">
        <v>354</v>
      </c>
      <c r="BJ21" s="288" t="s">
        <v>354</v>
      </c>
      <c r="BK21" s="288" t="s">
        <v>354</v>
      </c>
      <c r="BL21" s="288" t="s">
        <v>354</v>
      </c>
      <c r="BM21" s="288" t="s">
        <v>354</v>
      </c>
      <c r="BN21" s="288" t="s">
        <v>354</v>
      </c>
      <c r="BO21" s="288" t="s">
        <v>355</v>
      </c>
      <c r="BP21" s="288" t="s">
        <v>355</v>
      </c>
      <c r="BQ21" s="288" t="s">
        <v>355</v>
      </c>
      <c r="BR21" s="288" t="s">
        <v>355</v>
      </c>
      <c r="BS21" s="288" t="s">
        <v>355</v>
      </c>
      <c r="BT21" s="288" t="s">
        <v>355</v>
      </c>
      <c r="BU21" s="288" t="s">
        <v>355</v>
      </c>
      <c r="BV21" s="288" t="s">
        <v>355</v>
      </c>
      <c r="BW21" s="288" t="s">
        <v>355</v>
      </c>
      <c r="BX21" s="288" t="s">
        <v>355</v>
      </c>
      <c r="BY21" s="288" t="s">
        <v>355</v>
      </c>
      <c r="BZ21" s="288" t="s">
        <v>355</v>
      </c>
      <c r="CA21" s="288" t="s">
        <v>355</v>
      </c>
      <c r="CB21" s="288" t="s">
        <v>355</v>
      </c>
      <c r="CC21" s="288" t="s">
        <v>355</v>
      </c>
      <c r="CD21" s="288" t="s">
        <v>355</v>
      </c>
      <c r="CE21" s="288" t="s">
        <v>355</v>
      </c>
      <c r="CF21" s="288" t="s">
        <v>355</v>
      </c>
      <c r="CG21" s="288" t="s">
        <v>355</v>
      </c>
      <c r="CH21" s="288" t="s">
        <v>355</v>
      </c>
      <c r="CI21" s="288" t="s">
        <v>355</v>
      </c>
      <c r="CJ21" s="288" t="s">
        <v>355</v>
      </c>
      <c r="CK21" s="288" t="s">
        <v>355</v>
      </c>
      <c r="CL21" s="288" t="s">
        <v>355</v>
      </c>
      <c r="CM21" s="288" t="s">
        <v>355</v>
      </c>
      <c r="CN21" s="288" t="s">
        <v>355</v>
      </c>
      <c r="CO21" s="288" t="s">
        <v>355</v>
      </c>
      <c r="CP21" s="288" t="s">
        <v>355</v>
      </c>
      <c r="CQ21" s="288" t="s">
        <v>355</v>
      </c>
      <c r="CR21" s="288" t="s">
        <v>355</v>
      </c>
      <c r="CS21" s="288" t="s">
        <v>355</v>
      </c>
      <c r="CT21" s="288" t="s">
        <v>355</v>
      </c>
      <c r="CU21" s="288" t="s">
        <v>355</v>
      </c>
      <c r="CV21" s="288" t="s">
        <v>355</v>
      </c>
      <c r="CW21" s="288" t="s">
        <v>355</v>
      </c>
      <c r="CX21" s="288" t="s">
        <v>355</v>
      </c>
      <c r="CY21" s="288" t="s">
        <v>355</v>
      </c>
      <c r="CZ21" s="288" t="s">
        <v>355</v>
      </c>
      <c r="DA21" s="288" t="s">
        <v>355</v>
      </c>
      <c r="DB21" s="288" t="s">
        <v>355</v>
      </c>
      <c r="DC21" s="288" t="s">
        <v>355</v>
      </c>
      <c r="DD21" s="288" t="s">
        <v>355</v>
      </c>
      <c r="DE21" s="288" t="s">
        <v>355</v>
      </c>
      <c r="DF21" s="288" t="s">
        <v>355</v>
      </c>
      <c r="DG21" s="288" t="s">
        <v>355</v>
      </c>
      <c r="DH21" s="288" t="s">
        <v>355</v>
      </c>
      <c r="DI21" s="288" t="s">
        <v>355</v>
      </c>
      <c r="DJ21" s="288" t="s">
        <v>355</v>
      </c>
      <c r="DK21" s="288" t="s">
        <v>355</v>
      </c>
      <c r="DL21" s="288" t="s">
        <v>355</v>
      </c>
      <c r="DM21" s="288" t="s">
        <v>355</v>
      </c>
      <c r="DN21" s="288" t="s">
        <v>355</v>
      </c>
      <c r="DO21" s="288" t="s">
        <v>355</v>
      </c>
      <c r="DP21" s="288" t="s">
        <v>355</v>
      </c>
      <c r="DQ21" s="288" t="s">
        <v>355</v>
      </c>
      <c r="DR21" s="288" t="s">
        <v>355</v>
      </c>
      <c r="DS21" s="288" t="s">
        <v>355</v>
      </c>
      <c r="DT21" s="288" t="s">
        <v>355</v>
      </c>
      <c r="DU21" s="288" t="s">
        <v>355</v>
      </c>
      <c r="DV21" s="288" t="s">
        <v>355</v>
      </c>
    </row>
    <row r="22" spans="1:126" x14ac:dyDescent="0.3">
      <c r="B22" s="45"/>
      <c r="C22" s="45"/>
      <c r="D22" s="45"/>
      <c r="E22" s="256" t="s">
        <v>176</v>
      </c>
      <c r="F22" s="51"/>
      <c r="G22" s="387">
        <v>7.7231178508198106E-2</v>
      </c>
      <c r="H22" s="388"/>
      <c r="I22" s="388"/>
      <c r="J22" s="388"/>
      <c r="K22" s="388"/>
      <c r="L22" s="388"/>
      <c r="M22" s="388"/>
      <c r="N22" s="388"/>
      <c r="O22" s="388"/>
      <c r="P22" s="388"/>
      <c r="Q22" s="388"/>
      <c r="R22" s="388"/>
      <c r="S22" s="388"/>
      <c r="T22" s="388"/>
      <c r="U22" s="388"/>
      <c r="V22" s="388"/>
      <c r="W22" s="388"/>
      <c r="X22" s="388"/>
      <c r="Y22" s="388"/>
      <c r="Z22" s="388"/>
      <c r="AA22" s="388"/>
      <c r="AB22" s="388"/>
      <c r="AC22" s="388"/>
      <c r="AD22" s="388"/>
      <c r="AE22" s="388"/>
      <c r="AF22" s="388"/>
      <c r="AG22" s="388"/>
      <c r="AH22" s="388"/>
      <c r="AI22" s="388"/>
      <c r="AJ22" s="388"/>
      <c r="AK22" s="388"/>
      <c r="AL22" s="388"/>
      <c r="AM22" s="388"/>
      <c r="AN22" s="388"/>
      <c r="AO22" s="388"/>
      <c r="AP22" s="388"/>
      <c r="AQ22" s="388"/>
      <c r="AR22" s="388"/>
      <c r="AS22" s="388"/>
      <c r="AT22" s="388"/>
      <c r="AU22" s="388"/>
      <c r="AV22" s="388"/>
      <c r="AW22" s="388"/>
      <c r="AX22" s="388"/>
      <c r="AY22" s="388"/>
      <c r="AZ22" s="388"/>
      <c r="BA22" s="388"/>
      <c r="BB22" s="388"/>
      <c r="BC22" s="388"/>
      <c r="BD22" s="388"/>
      <c r="BE22" s="388"/>
      <c r="BF22" s="388"/>
      <c r="BG22" s="388"/>
      <c r="BH22" s="388"/>
      <c r="BI22" s="388"/>
      <c r="BJ22" s="388"/>
      <c r="BK22" s="388"/>
      <c r="BL22" s="388"/>
      <c r="BM22" s="388"/>
      <c r="BN22" s="389"/>
      <c r="BO22" s="387">
        <v>4.4428753291331599E-2</v>
      </c>
      <c r="BP22" s="388"/>
      <c r="BQ22" s="388"/>
      <c r="BR22" s="388"/>
      <c r="BS22" s="388"/>
      <c r="BT22" s="388"/>
      <c r="BU22" s="388"/>
      <c r="BV22" s="388"/>
      <c r="BW22" s="388"/>
      <c r="BX22" s="388"/>
      <c r="BY22" s="388"/>
      <c r="BZ22" s="388"/>
      <c r="CA22" s="388"/>
      <c r="CB22" s="388"/>
      <c r="CC22" s="388"/>
      <c r="CD22" s="388"/>
      <c r="CE22" s="388"/>
      <c r="CF22" s="388"/>
      <c r="CG22" s="388"/>
      <c r="CH22" s="388"/>
      <c r="CI22" s="388"/>
      <c r="CJ22" s="388"/>
      <c r="CK22" s="388"/>
      <c r="CL22" s="388"/>
      <c r="CM22" s="388"/>
      <c r="CN22" s="388"/>
      <c r="CO22" s="388"/>
      <c r="CP22" s="388"/>
      <c r="CQ22" s="388"/>
      <c r="CR22" s="388"/>
      <c r="CS22" s="388"/>
      <c r="CT22" s="388"/>
      <c r="CU22" s="388"/>
      <c r="CV22" s="388"/>
      <c r="CW22" s="388"/>
      <c r="CX22" s="388"/>
      <c r="CY22" s="388"/>
      <c r="CZ22" s="388"/>
      <c r="DA22" s="388"/>
      <c r="DB22" s="388"/>
      <c r="DC22" s="388"/>
      <c r="DD22" s="388"/>
      <c r="DE22" s="388"/>
      <c r="DF22" s="388"/>
      <c r="DG22" s="388"/>
      <c r="DH22" s="388"/>
      <c r="DI22" s="388"/>
      <c r="DJ22" s="388"/>
      <c r="DK22" s="388"/>
      <c r="DL22" s="388"/>
      <c r="DM22" s="388"/>
      <c r="DN22" s="388"/>
      <c r="DO22" s="388"/>
      <c r="DP22" s="388"/>
      <c r="DQ22" s="388"/>
      <c r="DR22" s="388"/>
      <c r="DS22" s="388"/>
      <c r="DT22" s="388"/>
      <c r="DU22" s="388"/>
      <c r="DV22" s="389"/>
    </row>
    <row r="23" spans="1:126" x14ac:dyDescent="0.3">
      <c r="B23" s="45"/>
      <c r="C23" s="45"/>
      <c r="D23" s="45"/>
      <c r="E23" s="256" t="s">
        <v>177</v>
      </c>
      <c r="F23" s="51"/>
      <c r="G23" s="387">
        <v>4.3994943536656429E-2</v>
      </c>
      <c r="H23" s="388"/>
      <c r="I23" s="388"/>
      <c r="J23" s="388"/>
      <c r="K23" s="388"/>
      <c r="L23" s="388"/>
      <c r="M23" s="388"/>
      <c r="N23" s="388"/>
      <c r="O23" s="388"/>
      <c r="P23" s="388"/>
      <c r="Q23" s="388"/>
      <c r="R23" s="388"/>
      <c r="S23" s="388"/>
      <c r="T23" s="388"/>
      <c r="U23" s="388"/>
      <c r="V23" s="388"/>
      <c r="W23" s="388"/>
      <c r="X23" s="388"/>
      <c r="Y23" s="388"/>
      <c r="Z23" s="388"/>
      <c r="AA23" s="388"/>
      <c r="AB23" s="388"/>
      <c r="AC23" s="388"/>
      <c r="AD23" s="388"/>
      <c r="AE23" s="388"/>
      <c r="AF23" s="388"/>
      <c r="AG23" s="388"/>
      <c r="AH23" s="388"/>
      <c r="AI23" s="388"/>
      <c r="AJ23" s="388"/>
      <c r="AK23" s="388"/>
      <c r="AL23" s="388"/>
      <c r="AM23" s="388"/>
      <c r="AN23" s="388"/>
      <c r="AO23" s="388"/>
      <c r="AP23" s="388"/>
      <c r="AQ23" s="388"/>
      <c r="AR23" s="388"/>
      <c r="AS23" s="388"/>
      <c r="AT23" s="388"/>
      <c r="AU23" s="388"/>
      <c r="AV23" s="388"/>
      <c r="AW23" s="388"/>
      <c r="AX23" s="388"/>
      <c r="AY23" s="388"/>
      <c r="AZ23" s="388"/>
      <c r="BA23" s="388"/>
      <c r="BB23" s="388"/>
      <c r="BC23" s="388"/>
      <c r="BD23" s="388"/>
      <c r="BE23" s="388"/>
      <c r="BF23" s="388"/>
      <c r="BG23" s="388"/>
      <c r="BH23" s="388"/>
      <c r="BI23" s="388"/>
      <c r="BJ23" s="388"/>
      <c r="BK23" s="388"/>
      <c r="BL23" s="388"/>
      <c r="BM23" s="388"/>
      <c r="BN23" s="389"/>
      <c r="BO23" s="387">
        <v>3.5585885206719563E-2</v>
      </c>
      <c r="BP23" s="388"/>
      <c r="BQ23" s="388"/>
      <c r="BR23" s="388"/>
      <c r="BS23" s="388"/>
      <c r="BT23" s="388"/>
      <c r="BU23" s="388"/>
      <c r="BV23" s="388"/>
      <c r="BW23" s="388"/>
      <c r="BX23" s="388"/>
      <c r="BY23" s="388"/>
      <c r="BZ23" s="388"/>
      <c r="CA23" s="388"/>
      <c r="CB23" s="388"/>
      <c r="CC23" s="388"/>
      <c r="CD23" s="388"/>
      <c r="CE23" s="388"/>
      <c r="CF23" s="388"/>
      <c r="CG23" s="388"/>
      <c r="CH23" s="388"/>
      <c r="CI23" s="388"/>
      <c r="CJ23" s="388"/>
      <c r="CK23" s="388"/>
      <c r="CL23" s="388"/>
      <c r="CM23" s="388"/>
      <c r="CN23" s="388"/>
      <c r="CO23" s="388"/>
      <c r="CP23" s="388"/>
      <c r="CQ23" s="388"/>
      <c r="CR23" s="388"/>
      <c r="CS23" s="388"/>
      <c r="CT23" s="388"/>
      <c r="CU23" s="388"/>
      <c r="CV23" s="388"/>
      <c r="CW23" s="388"/>
      <c r="CX23" s="388"/>
      <c r="CY23" s="388"/>
      <c r="CZ23" s="388"/>
      <c r="DA23" s="388"/>
      <c r="DB23" s="388"/>
      <c r="DC23" s="388"/>
      <c r="DD23" s="388"/>
      <c r="DE23" s="388"/>
      <c r="DF23" s="388"/>
      <c r="DG23" s="388"/>
      <c r="DH23" s="388"/>
      <c r="DI23" s="388"/>
      <c r="DJ23" s="388"/>
      <c r="DK23" s="388"/>
      <c r="DL23" s="388"/>
      <c r="DM23" s="388"/>
      <c r="DN23" s="388"/>
      <c r="DO23" s="388"/>
      <c r="DP23" s="388"/>
      <c r="DQ23" s="388"/>
      <c r="DR23" s="388"/>
      <c r="DS23" s="388"/>
      <c r="DT23" s="388"/>
      <c r="DU23" s="388"/>
      <c r="DV23" s="389"/>
    </row>
    <row r="24" spans="1:126" x14ac:dyDescent="0.3">
      <c r="B24" s="45"/>
      <c r="C24" s="45"/>
      <c r="D24" s="45"/>
      <c r="E24" s="256" t="s">
        <v>175</v>
      </c>
      <c r="F24" s="51"/>
      <c r="G24" s="387">
        <v>0.1809124069846981</v>
      </c>
      <c r="H24" s="388"/>
      <c r="I24" s="388"/>
      <c r="J24" s="388"/>
      <c r="K24" s="388"/>
      <c r="L24" s="388"/>
      <c r="M24" s="388"/>
      <c r="N24" s="388"/>
      <c r="O24" s="388"/>
      <c r="P24" s="388"/>
      <c r="Q24" s="388"/>
      <c r="R24" s="388"/>
      <c r="S24" s="388"/>
      <c r="T24" s="388"/>
      <c r="U24" s="388"/>
      <c r="V24" s="388"/>
      <c r="W24" s="388"/>
      <c r="X24" s="388"/>
      <c r="Y24" s="388"/>
      <c r="Z24" s="388"/>
      <c r="AA24" s="388"/>
      <c r="AB24" s="388"/>
      <c r="AC24" s="388"/>
      <c r="AD24" s="388"/>
      <c r="AE24" s="388"/>
      <c r="AF24" s="388"/>
      <c r="AG24" s="388"/>
      <c r="AH24" s="388"/>
      <c r="AI24" s="388"/>
      <c r="AJ24" s="388"/>
      <c r="AK24" s="388"/>
      <c r="AL24" s="388"/>
      <c r="AM24" s="388"/>
      <c r="AN24" s="388"/>
      <c r="AO24" s="388"/>
      <c r="AP24" s="388"/>
      <c r="AQ24" s="388"/>
      <c r="AR24" s="388"/>
      <c r="AS24" s="388"/>
      <c r="AT24" s="388"/>
      <c r="AU24" s="388"/>
      <c r="AV24" s="388"/>
      <c r="AW24" s="388"/>
      <c r="AX24" s="388"/>
      <c r="AY24" s="388"/>
      <c r="AZ24" s="388"/>
      <c r="BA24" s="388"/>
      <c r="BB24" s="388"/>
      <c r="BC24" s="388"/>
      <c r="BD24" s="388"/>
      <c r="BE24" s="388"/>
      <c r="BF24" s="388"/>
      <c r="BG24" s="388"/>
      <c r="BH24" s="388"/>
      <c r="BI24" s="388"/>
      <c r="BJ24" s="388"/>
      <c r="BK24" s="388"/>
      <c r="BL24" s="388"/>
      <c r="BM24" s="388"/>
      <c r="BN24" s="389"/>
      <c r="BO24" s="387">
        <v>0.17774495476268989</v>
      </c>
      <c r="BP24" s="388"/>
      <c r="BQ24" s="388"/>
      <c r="BR24" s="388"/>
      <c r="BS24" s="388"/>
      <c r="BT24" s="388"/>
      <c r="BU24" s="388"/>
      <c r="BV24" s="388"/>
      <c r="BW24" s="388"/>
      <c r="BX24" s="388"/>
      <c r="BY24" s="388"/>
      <c r="BZ24" s="388"/>
      <c r="CA24" s="388"/>
      <c r="CB24" s="388"/>
      <c r="CC24" s="388"/>
      <c r="CD24" s="388"/>
      <c r="CE24" s="388"/>
      <c r="CF24" s="388"/>
      <c r="CG24" s="388"/>
      <c r="CH24" s="388"/>
      <c r="CI24" s="388"/>
      <c r="CJ24" s="388"/>
      <c r="CK24" s="388"/>
      <c r="CL24" s="388"/>
      <c r="CM24" s="388"/>
      <c r="CN24" s="388"/>
      <c r="CO24" s="388"/>
      <c r="CP24" s="388"/>
      <c r="CQ24" s="388"/>
      <c r="CR24" s="388"/>
      <c r="CS24" s="388"/>
      <c r="CT24" s="388"/>
      <c r="CU24" s="388"/>
      <c r="CV24" s="388"/>
      <c r="CW24" s="388"/>
      <c r="CX24" s="388"/>
      <c r="CY24" s="388"/>
      <c r="CZ24" s="388"/>
      <c r="DA24" s="388"/>
      <c r="DB24" s="388"/>
      <c r="DC24" s="388"/>
      <c r="DD24" s="388"/>
      <c r="DE24" s="388"/>
      <c r="DF24" s="388"/>
      <c r="DG24" s="388"/>
      <c r="DH24" s="388"/>
      <c r="DI24" s="388"/>
      <c r="DJ24" s="388"/>
      <c r="DK24" s="388"/>
      <c r="DL24" s="388"/>
      <c r="DM24" s="388"/>
      <c r="DN24" s="388"/>
      <c r="DO24" s="388"/>
      <c r="DP24" s="388"/>
      <c r="DQ24" s="388"/>
      <c r="DR24" s="388"/>
      <c r="DS24" s="388"/>
      <c r="DT24" s="388"/>
      <c r="DU24" s="388"/>
      <c r="DV24" s="389"/>
    </row>
    <row r="25" spans="1:126" ht="15.6" customHeight="1" x14ac:dyDescent="0.3">
      <c r="B25" s="45"/>
      <c r="C25" s="45"/>
      <c r="D25" s="45"/>
      <c r="E25" s="46" t="s">
        <v>91</v>
      </c>
      <c r="F25" s="51"/>
      <c r="G25" s="329">
        <v>43101</v>
      </c>
      <c r="H25" s="329">
        <v>43101</v>
      </c>
      <c r="I25" s="329">
        <v>43101</v>
      </c>
      <c r="J25" s="329">
        <v>43101</v>
      </c>
      <c r="K25" s="329">
        <v>43101</v>
      </c>
      <c r="L25" s="329">
        <v>43101</v>
      </c>
      <c r="M25" s="329">
        <v>43101</v>
      </c>
      <c r="N25" s="329">
        <v>43101</v>
      </c>
      <c r="O25" s="329">
        <v>43101</v>
      </c>
      <c r="P25" s="329">
        <v>43101</v>
      </c>
      <c r="Q25" s="329">
        <v>43101</v>
      </c>
      <c r="R25" s="329">
        <v>43101</v>
      </c>
      <c r="S25" s="329">
        <v>43101</v>
      </c>
      <c r="T25" s="329">
        <v>43101</v>
      </c>
      <c r="U25" s="329">
        <v>43101</v>
      </c>
      <c r="V25" s="329">
        <v>43101</v>
      </c>
      <c r="W25" s="329">
        <v>43101</v>
      </c>
      <c r="X25" s="329">
        <v>43101</v>
      </c>
      <c r="Y25" s="329">
        <v>43101</v>
      </c>
      <c r="Z25" s="329">
        <v>43101</v>
      </c>
      <c r="AA25" s="329">
        <v>43101</v>
      </c>
      <c r="AB25" s="329">
        <v>43101</v>
      </c>
      <c r="AC25" s="329">
        <v>43101</v>
      </c>
      <c r="AD25" s="329">
        <v>43101</v>
      </c>
      <c r="AE25" s="329">
        <v>43101</v>
      </c>
      <c r="AF25" s="329">
        <v>43101</v>
      </c>
      <c r="AG25" s="329">
        <v>43101</v>
      </c>
      <c r="AH25" s="329">
        <v>43101</v>
      </c>
      <c r="AI25" s="329">
        <v>43101</v>
      </c>
      <c r="AJ25" s="329">
        <v>43101</v>
      </c>
      <c r="AK25" s="329">
        <v>43101</v>
      </c>
      <c r="AL25" s="329">
        <v>43101</v>
      </c>
      <c r="AM25" s="329">
        <v>43101</v>
      </c>
      <c r="AN25" s="329">
        <v>43101</v>
      </c>
      <c r="AO25" s="329">
        <v>43101</v>
      </c>
      <c r="AP25" s="329">
        <v>43101</v>
      </c>
      <c r="AQ25" s="329">
        <v>43101</v>
      </c>
      <c r="AR25" s="329">
        <v>43101</v>
      </c>
      <c r="AS25" s="329">
        <v>43101</v>
      </c>
      <c r="AT25" s="329">
        <v>43101</v>
      </c>
      <c r="AU25" s="329">
        <v>43101</v>
      </c>
      <c r="AV25" s="329">
        <v>43101</v>
      </c>
      <c r="AW25" s="329">
        <v>43101</v>
      </c>
      <c r="AX25" s="329">
        <v>43101</v>
      </c>
      <c r="AY25" s="329">
        <v>43101</v>
      </c>
      <c r="AZ25" s="329">
        <v>43101</v>
      </c>
      <c r="BA25" s="329">
        <v>43101</v>
      </c>
      <c r="BB25" s="329">
        <v>43101</v>
      </c>
      <c r="BC25" s="329">
        <v>43101</v>
      </c>
      <c r="BD25" s="329">
        <v>43101</v>
      </c>
      <c r="BE25" s="329">
        <v>43101</v>
      </c>
      <c r="BF25" s="329">
        <v>43101</v>
      </c>
      <c r="BG25" s="329">
        <v>43101</v>
      </c>
      <c r="BH25" s="329">
        <v>43101</v>
      </c>
      <c r="BI25" s="329">
        <v>43101</v>
      </c>
      <c r="BJ25" s="329">
        <v>43101</v>
      </c>
      <c r="BK25" s="329">
        <v>43101</v>
      </c>
      <c r="BL25" s="329">
        <v>43101</v>
      </c>
      <c r="BM25" s="329">
        <v>43101</v>
      </c>
      <c r="BN25" s="329">
        <v>43101</v>
      </c>
      <c r="BO25" s="329">
        <v>43101</v>
      </c>
      <c r="BP25" s="329">
        <v>43101</v>
      </c>
      <c r="BQ25" s="329">
        <v>43101</v>
      </c>
      <c r="BR25" s="329">
        <v>43101</v>
      </c>
      <c r="BS25" s="329">
        <v>43101</v>
      </c>
      <c r="BT25" s="329">
        <v>43101</v>
      </c>
      <c r="BU25" s="329">
        <v>43101</v>
      </c>
      <c r="BV25" s="329">
        <v>43101</v>
      </c>
      <c r="BW25" s="329">
        <v>43101</v>
      </c>
      <c r="BX25" s="329">
        <v>43101</v>
      </c>
      <c r="BY25" s="329">
        <v>43101</v>
      </c>
      <c r="BZ25" s="329">
        <v>43101</v>
      </c>
      <c r="CA25" s="329">
        <v>43101</v>
      </c>
      <c r="CB25" s="329">
        <v>43101</v>
      </c>
      <c r="CC25" s="329">
        <v>43101</v>
      </c>
      <c r="CD25" s="329">
        <v>43101</v>
      </c>
      <c r="CE25" s="329">
        <v>43101</v>
      </c>
      <c r="CF25" s="329">
        <v>43101</v>
      </c>
      <c r="CG25" s="329">
        <v>43101</v>
      </c>
      <c r="CH25" s="329">
        <v>43101</v>
      </c>
      <c r="CI25" s="329">
        <v>43101</v>
      </c>
      <c r="CJ25" s="329">
        <v>43101</v>
      </c>
      <c r="CK25" s="329">
        <v>43101</v>
      </c>
      <c r="CL25" s="329">
        <v>43101</v>
      </c>
      <c r="CM25" s="329">
        <v>43101</v>
      </c>
      <c r="CN25" s="329">
        <v>43101</v>
      </c>
      <c r="CO25" s="329">
        <v>43101</v>
      </c>
      <c r="CP25" s="329">
        <v>43101</v>
      </c>
      <c r="CQ25" s="329">
        <v>43101</v>
      </c>
      <c r="CR25" s="329">
        <v>43101</v>
      </c>
      <c r="CS25" s="329">
        <v>43101</v>
      </c>
      <c r="CT25" s="329">
        <v>43101</v>
      </c>
      <c r="CU25" s="329">
        <v>43101</v>
      </c>
      <c r="CV25" s="329">
        <v>43101</v>
      </c>
      <c r="CW25" s="329">
        <v>43101</v>
      </c>
      <c r="CX25" s="329">
        <v>43101</v>
      </c>
      <c r="CY25" s="329">
        <v>43101</v>
      </c>
      <c r="CZ25" s="329">
        <v>43101</v>
      </c>
      <c r="DA25" s="329">
        <v>43101</v>
      </c>
      <c r="DB25" s="329">
        <v>43101</v>
      </c>
      <c r="DC25" s="329">
        <v>43101</v>
      </c>
      <c r="DD25" s="329">
        <v>43101</v>
      </c>
      <c r="DE25" s="329">
        <v>43101</v>
      </c>
      <c r="DF25" s="329">
        <v>43101</v>
      </c>
      <c r="DG25" s="329">
        <v>43101</v>
      </c>
      <c r="DH25" s="329">
        <v>43101</v>
      </c>
      <c r="DI25" s="329">
        <v>43101</v>
      </c>
      <c r="DJ25" s="329">
        <v>43101</v>
      </c>
      <c r="DK25" s="329">
        <v>43101</v>
      </c>
      <c r="DL25" s="329">
        <v>43101</v>
      </c>
      <c r="DM25" s="329">
        <v>43101</v>
      </c>
      <c r="DN25" s="329">
        <v>43101</v>
      </c>
      <c r="DO25" s="329">
        <v>43101</v>
      </c>
      <c r="DP25" s="329">
        <v>43101</v>
      </c>
      <c r="DQ25" s="329">
        <v>43101</v>
      </c>
      <c r="DR25" s="329">
        <v>43101</v>
      </c>
      <c r="DS25" s="329">
        <v>43101</v>
      </c>
      <c r="DT25" s="329">
        <v>43101</v>
      </c>
      <c r="DU25" s="329">
        <v>43101</v>
      </c>
      <c r="DV25" s="329">
        <v>43101</v>
      </c>
    </row>
    <row r="26" spans="1:126" ht="16.95" customHeight="1" x14ac:dyDescent="0.3">
      <c r="B26" s="45"/>
      <c r="C26" s="45"/>
      <c r="D26" s="45"/>
      <c r="E26" s="52" t="s">
        <v>81</v>
      </c>
      <c r="F26" s="53"/>
      <c r="G26" s="336">
        <v>0.21572315277805898</v>
      </c>
      <c r="H26" s="336">
        <v>0.21572315277805898</v>
      </c>
      <c r="I26" s="336">
        <v>0.21572315277805898</v>
      </c>
      <c r="J26" s="336">
        <v>0.21572315277805898</v>
      </c>
      <c r="K26" s="336">
        <v>0.21583074123260682</v>
      </c>
      <c r="L26" s="336">
        <v>0.22214301455587604</v>
      </c>
      <c r="M26" s="336">
        <v>0.22214301455587604</v>
      </c>
      <c r="N26" s="336">
        <v>0.22214301455587604</v>
      </c>
      <c r="O26" s="336">
        <v>0.22214301455587604</v>
      </c>
      <c r="P26" s="336">
        <v>0.22219098172059537</v>
      </c>
      <c r="Q26" s="336">
        <v>0</v>
      </c>
      <c r="R26" s="336">
        <v>0</v>
      </c>
      <c r="S26" s="336">
        <v>0</v>
      </c>
      <c r="T26" s="336">
        <v>0</v>
      </c>
      <c r="U26" s="336">
        <v>0</v>
      </c>
      <c r="V26" s="336">
        <v>0.20770219843660875</v>
      </c>
      <c r="W26" s="336">
        <v>0.20770219843660875</v>
      </c>
      <c r="X26" s="336">
        <v>0.20770219843660875</v>
      </c>
      <c r="Y26" s="336">
        <v>0.20770219843660875</v>
      </c>
      <c r="Z26" s="336">
        <v>0.20767508812826074</v>
      </c>
      <c r="AA26" s="336">
        <v>0.22926902885317024</v>
      </c>
      <c r="AB26" s="336">
        <v>0.22926902885317024</v>
      </c>
      <c r="AC26" s="336">
        <v>0.22926902885317024</v>
      </c>
      <c r="AD26" s="336">
        <v>0.22926902885317024</v>
      </c>
      <c r="AE26" s="336">
        <v>0.22935996266795966</v>
      </c>
      <c r="AF26" s="336">
        <v>0.24828164702362732</v>
      </c>
      <c r="AG26" s="336">
        <v>0.24828164702362732</v>
      </c>
      <c r="AH26" s="336">
        <v>0.24828164702362732</v>
      </c>
      <c r="AI26" s="336">
        <v>0.24828164702362732</v>
      </c>
      <c r="AJ26" s="336">
        <v>0.24828857052213893</v>
      </c>
      <c r="AK26" s="336">
        <v>0</v>
      </c>
      <c r="AL26" s="336">
        <v>0</v>
      </c>
      <c r="AM26" s="336">
        <v>0</v>
      </c>
      <c r="AN26" s="336">
        <v>0</v>
      </c>
      <c r="AO26" s="336">
        <v>0</v>
      </c>
      <c r="AP26" s="336">
        <v>0.25637047952007319</v>
      </c>
      <c r="AQ26" s="336">
        <v>0.25637047952007319</v>
      </c>
      <c r="AR26" s="336">
        <v>0.25637047952007319</v>
      </c>
      <c r="AS26" s="336">
        <v>0.25637047952007319</v>
      </c>
      <c r="AT26" s="336">
        <v>0.25657077277946683</v>
      </c>
      <c r="AU26" s="336">
        <v>0.26674066192881551</v>
      </c>
      <c r="AV26" s="336">
        <v>0.26674066192881551</v>
      </c>
      <c r="AW26" s="336">
        <v>0.26674066192881551</v>
      </c>
      <c r="AX26" s="336">
        <v>0.26674066192881551</v>
      </c>
      <c r="AY26" s="336">
        <v>0.2664310327919055</v>
      </c>
      <c r="AZ26" s="336">
        <v>0.26871493056852813</v>
      </c>
      <c r="BA26" s="336">
        <v>0.26871493056852813</v>
      </c>
      <c r="BB26" s="336">
        <v>0.26871493056852813</v>
      </c>
      <c r="BC26" s="336">
        <v>0.26871493056852813</v>
      </c>
      <c r="BD26" s="336">
        <v>0.26858179130130866</v>
      </c>
      <c r="BE26" s="336">
        <v>0.25545775055856734</v>
      </c>
      <c r="BF26" s="336">
        <v>0.25545775055856734</v>
      </c>
      <c r="BG26" s="336">
        <v>0.25545775055856734</v>
      </c>
      <c r="BH26" s="336">
        <v>0.25545775055856734</v>
      </c>
      <c r="BI26" s="336">
        <v>0.25550395730915221</v>
      </c>
      <c r="BJ26" s="336">
        <v>0.2468007644052197</v>
      </c>
      <c r="BK26" s="336">
        <v>0.2468007644052197</v>
      </c>
      <c r="BL26" s="336">
        <v>0</v>
      </c>
      <c r="BM26" s="336">
        <v>0.2468007644052197</v>
      </c>
      <c r="BN26" s="336">
        <v>0.24667520059887438</v>
      </c>
      <c r="BO26" s="336">
        <v>0.21572315277805898</v>
      </c>
      <c r="BP26" s="336">
        <v>0.21572315277805898</v>
      </c>
      <c r="BQ26" s="336">
        <v>0.21572315277805898</v>
      </c>
      <c r="BR26" s="336">
        <v>0.21572315277805898</v>
      </c>
      <c r="BS26" s="336">
        <v>0.21583074123260682</v>
      </c>
      <c r="BT26" s="336">
        <v>0.22214301455587604</v>
      </c>
      <c r="BU26" s="336">
        <v>0.22214301455587604</v>
      </c>
      <c r="BV26" s="336">
        <v>0.22214301455587604</v>
      </c>
      <c r="BW26" s="336">
        <v>0.22214301455587604</v>
      </c>
      <c r="BX26" s="336">
        <v>0.22219098172059537</v>
      </c>
      <c r="BY26" s="336">
        <v>0</v>
      </c>
      <c r="BZ26" s="336">
        <v>0</v>
      </c>
      <c r="CA26" s="336">
        <v>0</v>
      </c>
      <c r="CB26" s="336">
        <v>0</v>
      </c>
      <c r="CC26" s="336">
        <v>0</v>
      </c>
      <c r="CD26" s="336">
        <v>0.20770219843660875</v>
      </c>
      <c r="CE26" s="336">
        <v>0.20770219843660875</v>
      </c>
      <c r="CF26" s="336">
        <v>0.20770219843660875</v>
      </c>
      <c r="CG26" s="336">
        <v>0.20770219843660875</v>
      </c>
      <c r="CH26" s="336">
        <v>0.20767508812826074</v>
      </c>
      <c r="CI26" s="336">
        <v>0.22926902885317024</v>
      </c>
      <c r="CJ26" s="336">
        <v>0.22926902885317024</v>
      </c>
      <c r="CK26" s="336">
        <v>0.22926902885317024</v>
      </c>
      <c r="CL26" s="336">
        <v>0.22926902885317024</v>
      </c>
      <c r="CM26" s="336">
        <v>0.22935996266795966</v>
      </c>
      <c r="CN26" s="336">
        <v>0.24828164702362732</v>
      </c>
      <c r="CO26" s="336">
        <v>0.24828164702362732</v>
      </c>
      <c r="CP26" s="336">
        <v>0.24828164702362732</v>
      </c>
      <c r="CQ26" s="336">
        <v>0.24828164702362732</v>
      </c>
      <c r="CR26" s="336">
        <v>0.24828857052213893</v>
      </c>
      <c r="CS26" s="336">
        <v>0</v>
      </c>
      <c r="CT26" s="336">
        <v>0</v>
      </c>
      <c r="CU26" s="336">
        <v>0</v>
      </c>
      <c r="CV26" s="336">
        <v>0</v>
      </c>
      <c r="CW26" s="336">
        <v>0</v>
      </c>
      <c r="CX26" s="336">
        <v>0.25637047952007319</v>
      </c>
      <c r="CY26" s="336">
        <v>0.25637047952007319</v>
      </c>
      <c r="CZ26" s="336">
        <v>0.25637047952007319</v>
      </c>
      <c r="DA26" s="336">
        <v>0.25637047952007319</v>
      </c>
      <c r="DB26" s="336">
        <v>0.25657077277946683</v>
      </c>
      <c r="DC26" s="336">
        <v>0.26674066192881551</v>
      </c>
      <c r="DD26" s="336">
        <v>0.26674066192881551</v>
      </c>
      <c r="DE26" s="336">
        <v>0.26674066192881551</v>
      </c>
      <c r="DF26" s="336">
        <v>0.26674066192881551</v>
      </c>
      <c r="DG26" s="336">
        <v>0.2664310327919055</v>
      </c>
      <c r="DH26" s="336">
        <v>0.26871493056852813</v>
      </c>
      <c r="DI26" s="336">
        <v>0.26871493056852813</v>
      </c>
      <c r="DJ26" s="336">
        <v>0.26871493056852813</v>
      </c>
      <c r="DK26" s="336">
        <v>0.26871493056852813</v>
      </c>
      <c r="DL26" s="336">
        <v>0.26858179130130866</v>
      </c>
      <c r="DM26" s="336">
        <v>0.25545775055856734</v>
      </c>
      <c r="DN26" s="336">
        <v>0.25545775055856734</v>
      </c>
      <c r="DO26" s="336">
        <v>0.25545775055856734</v>
      </c>
      <c r="DP26" s="336">
        <v>0.25545775055856734</v>
      </c>
      <c r="DQ26" s="336">
        <v>0.25550395730915221</v>
      </c>
      <c r="DR26" s="336">
        <v>0.2468007644052197</v>
      </c>
      <c r="DS26" s="336">
        <v>0.2468007644052197</v>
      </c>
      <c r="DT26" s="336">
        <v>0.2468007644052197</v>
      </c>
      <c r="DU26" s="336">
        <v>0.2468007644052197</v>
      </c>
      <c r="DV26" s="336">
        <v>0.24667520059887438</v>
      </c>
    </row>
    <row r="27" spans="1:126" x14ac:dyDescent="0.3">
      <c r="B27" s="45"/>
      <c r="C27" s="45"/>
      <c r="D27" s="45"/>
      <c r="E27" s="54" t="s">
        <v>82</v>
      </c>
      <c r="F27" s="55"/>
      <c r="G27" s="336">
        <v>0.21572315277805898</v>
      </c>
      <c r="H27" s="336">
        <v>0.21572315277805898</v>
      </c>
      <c r="I27" s="336">
        <v>0.21572315277805898</v>
      </c>
      <c r="J27" s="336">
        <v>0.21572315277805898</v>
      </c>
      <c r="K27" s="336">
        <v>0.21583074123260682</v>
      </c>
      <c r="L27" s="336">
        <v>0.22214301455587604</v>
      </c>
      <c r="M27" s="336">
        <v>0.22214301455587604</v>
      </c>
      <c r="N27" s="336">
        <v>0.22214301455587604</v>
      </c>
      <c r="O27" s="336">
        <v>0.22214301455587604</v>
      </c>
      <c r="P27" s="336">
        <v>0.22219098172059537</v>
      </c>
      <c r="Q27" s="336">
        <v>0</v>
      </c>
      <c r="R27" s="336">
        <v>0</v>
      </c>
      <c r="S27" s="336">
        <v>0</v>
      </c>
      <c r="T27" s="336">
        <v>0</v>
      </c>
      <c r="U27" s="336">
        <v>0</v>
      </c>
      <c r="V27" s="336">
        <v>0.20770219843660875</v>
      </c>
      <c r="W27" s="336">
        <v>0.20770219843660875</v>
      </c>
      <c r="X27" s="336">
        <v>0.20770219843660875</v>
      </c>
      <c r="Y27" s="336">
        <v>0.20770219843660875</v>
      </c>
      <c r="Z27" s="336">
        <v>0.20767508812826074</v>
      </c>
      <c r="AA27" s="336">
        <v>0.22926902885317024</v>
      </c>
      <c r="AB27" s="336">
        <v>0.22926902885317024</v>
      </c>
      <c r="AC27" s="336">
        <v>0.22926902885317024</v>
      </c>
      <c r="AD27" s="336">
        <v>0.22926902885317024</v>
      </c>
      <c r="AE27" s="336">
        <v>0.22935996266795966</v>
      </c>
      <c r="AF27" s="336">
        <v>0.24828164702362732</v>
      </c>
      <c r="AG27" s="336">
        <v>0.24828164702362732</v>
      </c>
      <c r="AH27" s="336">
        <v>0.24828164702362732</v>
      </c>
      <c r="AI27" s="336">
        <v>0.24828164702362732</v>
      </c>
      <c r="AJ27" s="336">
        <v>0.24828857052213893</v>
      </c>
      <c r="AK27" s="336">
        <v>0</v>
      </c>
      <c r="AL27" s="336">
        <v>0</v>
      </c>
      <c r="AM27" s="336">
        <v>0</v>
      </c>
      <c r="AN27" s="336">
        <v>0</v>
      </c>
      <c r="AO27" s="336">
        <v>0</v>
      </c>
      <c r="AP27" s="336">
        <v>0.25637047952007319</v>
      </c>
      <c r="AQ27" s="336">
        <v>0.25637047952007319</v>
      </c>
      <c r="AR27" s="336">
        <v>0.25637047952007319</v>
      </c>
      <c r="AS27" s="336">
        <v>0.25637047952007319</v>
      </c>
      <c r="AT27" s="336">
        <v>0.25657077277946683</v>
      </c>
      <c r="AU27" s="336">
        <v>0.26674066192881551</v>
      </c>
      <c r="AV27" s="336">
        <v>0.26674066192881551</v>
      </c>
      <c r="AW27" s="336">
        <v>0.26674066192881551</v>
      </c>
      <c r="AX27" s="336">
        <v>0.26674066192881551</v>
      </c>
      <c r="AY27" s="336">
        <v>0.2664310327919055</v>
      </c>
      <c r="AZ27" s="336">
        <v>0.26871493056852813</v>
      </c>
      <c r="BA27" s="336">
        <v>0.26871493056852813</v>
      </c>
      <c r="BB27" s="336">
        <v>0.26871493056852813</v>
      </c>
      <c r="BC27" s="336">
        <v>0.26871493056852813</v>
      </c>
      <c r="BD27" s="336">
        <v>0.26858179130130866</v>
      </c>
      <c r="BE27" s="336">
        <v>0.25545775055856734</v>
      </c>
      <c r="BF27" s="336">
        <v>0.25545775055856734</v>
      </c>
      <c r="BG27" s="336">
        <v>0.25545775055856734</v>
      </c>
      <c r="BH27" s="336">
        <v>0.25545775055856734</v>
      </c>
      <c r="BI27" s="336">
        <v>0.25550395730915221</v>
      </c>
      <c r="BJ27" s="336">
        <v>0.2468007644052197</v>
      </c>
      <c r="BK27" s="336">
        <v>0.2468007644052197</v>
      </c>
      <c r="BL27" s="336">
        <v>0</v>
      </c>
      <c r="BM27" s="336">
        <v>0.2468007644052197</v>
      </c>
      <c r="BN27" s="336">
        <v>0.24667520059887438</v>
      </c>
      <c r="BO27" s="336">
        <v>0.21572315277805898</v>
      </c>
      <c r="BP27" s="336">
        <v>0.21572315277805898</v>
      </c>
      <c r="BQ27" s="336">
        <v>0.21572315277805898</v>
      </c>
      <c r="BR27" s="336">
        <v>0.21572315277805898</v>
      </c>
      <c r="BS27" s="336">
        <v>0.21583074123260682</v>
      </c>
      <c r="BT27" s="336">
        <v>0.22214301455587604</v>
      </c>
      <c r="BU27" s="336">
        <v>0.22214301455587604</v>
      </c>
      <c r="BV27" s="336">
        <v>0.22214301455587604</v>
      </c>
      <c r="BW27" s="336">
        <v>0.22214301455587604</v>
      </c>
      <c r="BX27" s="336">
        <v>0.22219098172059537</v>
      </c>
      <c r="BY27" s="336">
        <v>0</v>
      </c>
      <c r="BZ27" s="336">
        <v>0</v>
      </c>
      <c r="CA27" s="336">
        <v>0</v>
      </c>
      <c r="CB27" s="336">
        <v>0</v>
      </c>
      <c r="CC27" s="336">
        <v>0</v>
      </c>
      <c r="CD27" s="336">
        <v>0.20770219843660875</v>
      </c>
      <c r="CE27" s="336">
        <v>0.20770219843660875</v>
      </c>
      <c r="CF27" s="336">
        <v>0.20770219843660875</v>
      </c>
      <c r="CG27" s="336">
        <v>0.20770219843660875</v>
      </c>
      <c r="CH27" s="336">
        <v>0.20767508812826074</v>
      </c>
      <c r="CI27" s="336">
        <v>0.22926902885317024</v>
      </c>
      <c r="CJ27" s="336">
        <v>0.22926902885317024</v>
      </c>
      <c r="CK27" s="336">
        <v>0.22926902885317024</v>
      </c>
      <c r="CL27" s="336">
        <v>0.22926902885317024</v>
      </c>
      <c r="CM27" s="336">
        <v>0.22935996266795966</v>
      </c>
      <c r="CN27" s="336">
        <v>0.24828164702362732</v>
      </c>
      <c r="CO27" s="336">
        <v>0.24828164702362732</v>
      </c>
      <c r="CP27" s="336">
        <v>0.24828164702362732</v>
      </c>
      <c r="CQ27" s="336">
        <v>0.24828164702362732</v>
      </c>
      <c r="CR27" s="336">
        <v>0.24828857052213893</v>
      </c>
      <c r="CS27" s="336">
        <v>0</v>
      </c>
      <c r="CT27" s="336">
        <v>0</v>
      </c>
      <c r="CU27" s="336">
        <v>0</v>
      </c>
      <c r="CV27" s="336">
        <v>0</v>
      </c>
      <c r="CW27" s="336">
        <v>0</v>
      </c>
      <c r="CX27" s="336">
        <v>0.25637047952007319</v>
      </c>
      <c r="CY27" s="336">
        <v>0.25637047952007319</v>
      </c>
      <c r="CZ27" s="336">
        <v>0.25637047952007319</v>
      </c>
      <c r="DA27" s="336">
        <v>0.25637047952007319</v>
      </c>
      <c r="DB27" s="336">
        <v>0.25657077277946683</v>
      </c>
      <c r="DC27" s="336">
        <v>0.26674066192881551</v>
      </c>
      <c r="DD27" s="336">
        <v>0.26674066192881551</v>
      </c>
      <c r="DE27" s="336">
        <v>0.26674066192881551</v>
      </c>
      <c r="DF27" s="336">
        <v>0.26674066192881551</v>
      </c>
      <c r="DG27" s="336">
        <v>0.2664310327919055</v>
      </c>
      <c r="DH27" s="336">
        <v>0.26871493056852813</v>
      </c>
      <c r="DI27" s="336">
        <v>0.26871493056852813</v>
      </c>
      <c r="DJ27" s="336">
        <v>0.26871493056852813</v>
      </c>
      <c r="DK27" s="336">
        <v>0.26871493056852813</v>
      </c>
      <c r="DL27" s="336">
        <v>0.26858179130130866</v>
      </c>
      <c r="DM27" s="336">
        <v>0.25545775055856734</v>
      </c>
      <c r="DN27" s="336">
        <v>0.25545775055856734</v>
      </c>
      <c r="DO27" s="336">
        <v>0.25545775055856734</v>
      </c>
      <c r="DP27" s="336">
        <v>0.25545775055856734</v>
      </c>
      <c r="DQ27" s="336">
        <v>0.25550395730915221</v>
      </c>
      <c r="DR27" s="336">
        <v>0.2468007644052197</v>
      </c>
      <c r="DS27" s="336">
        <v>0.2468007644052197</v>
      </c>
      <c r="DT27" s="336">
        <v>0.2468007644052197</v>
      </c>
      <c r="DU27" s="336">
        <v>0.2468007644052197</v>
      </c>
      <c r="DV27" s="336">
        <v>0.24667520059887438</v>
      </c>
    </row>
    <row r="28" spans="1:126" x14ac:dyDescent="0.3">
      <c r="B28" s="45"/>
      <c r="C28" s="45"/>
      <c r="D28" s="45"/>
      <c r="E28" s="54" t="s">
        <v>83</v>
      </c>
      <c r="F28" s="55"/>
      <c r="G28" s="337">
        <f t="shared" ref="G28:AL28" si="0">+G81/G55-1</f>
        <v>0.43405638300482519</v>
      </c>
      <c r="H28" s="337">
        <f t="shared" si="0"/>
        <v>0.43405638300482519</v>
      </c>
      <c r="I28" s="337">
        <f t="shared" si="0"/>
        <v>0.43405638300482519</v>
      </c>
      <c r="J28" s="337">
        <f t="shared" si="0"/>
        <v>0.43405638300482519</v>
      </c>
      <c r="K28" s="337">
        <f t="shared" si="0"/>
        <v>0.43362782179955572</v>
      </c>
      <c r="L28" s="337">
        <f t="shared" si="0"/>
        <v>0.47453636858818982</v>
      </c>
      <c r="M28" s="337">
        <f t="shared" si="0"/>
        <v>0.47453636858818982</v>
      </c>
      <c r="N28" s="337">
        <f t="shared" si="0"/>
        <v>0.47453636858818982</v>
      </c>
      <c r="O28" s="337">
        <f t="shared" si="0"/>
        <v>0.47453636858818982</v>
      </c>
      <c r="P28" s="337">
        <f t="shared" si="0"/>
        <v>0.4746815635718824</v>
      </c>
      <c r="Q28" s="337" t="e">
        <f t="shared" si="0"/>
        <v>#DIV/0!</v>
      </c>
      <c r="R28" s="337" t="e">
        <f t="shared" si="0"/>
        <v>#DIV/0!</v>
      </c>
      <c r="S28" s="337" t="e">
        <f t="shared" si="0"/>
        <v>#DIV/0!</v>
      </c>
      <c r="T28" s="337" t="e">
        <f t="shared" si="0"/>
        <v>#DIV/0!</v>
      </c>
      <c r="U28" s="337" t="e">
        <f t="shared" si="0"/>
        <v>#DIV/0!</v>
      </c>
      <c r="V28" s="337">
        <f t="shared" si="0"/>
        <v>0.47167612529370651</v>
      </c>
      <c r="W28" s="337">
        <f t="shared" si="0"/>
        <v>0.47167612529370651</v>
      </c>
      <c r="X28" s="337">
        <f t="shared" si="0"/>
        <v>0.47167612529370651</v>
      </c>
      <c r="Y28" s="337">
        <f t="shared" si="0"/>
        <v>0.47167612529370651</v>
      </c>
      <c r="Z28" s="337">
        <f t="shared" si="0"/>
        <v>0.47129480393827272</v>
      </c>
      <c r="AA28" s="337">
        <f t="shared" si="0"/>
        <v>0.47731899204896067</v>
      </c>
      <c r="AB28" s="337">
        <f t="shared" si="0"/>
        <v>0.47731899204896067</v>
      </c>
      <c r="AC28" s="337">
        <f t="shared" si="0"/>
        <v>0.47731899204896067</v>
      </c>
      <c r="AD28" s="337">
        <f t="shared" si="0"/>
        <v>0.47731899204896067</v>
      </c>
      <c r="AE28" s="337">
        <f t="shared" si="0"/>
        <v>0.47749669722661636</v>
      </c>
      <c r="AF28" s="337">
        <f t="shared" si="0"/>
        <v>0.51901872743806465</v>
      </c>
      <c r="AG28" s="337">
        <f t="shared" si="0"/>
        <v>0.51901872743806465</v>
      </c>
      <c r="AH28" s="337">
        <f t="shared" si="0"/>
        <v>0.51901872743806465</v>
      </c>
      <c r="AI28" s="337">
        <f t="shared" si="0"/>
        <v>0.51901872743806465</v>
      </c>
      <c r="AJ28" s="337">
        <f t="shared" si="0"/>
        <v>0.51896808241360737</v>
      </c>
      <c r="AK28" s="337" t="e">
        <f t="shared" si="0"/>
        <v>#DIV/0!</v>
      </c>
      <c r="AL28" s="337" t="e">
        <f t="shared" si="0"/>
        <v>#DIV/0!</v>
      </c>
      <c r="AM28" s="337" t="e">
        <f t="shared" ref="AM28:BR28" si="1">+AM81/AM55-1</f>
        <v>#DIV/0!</v>
      </c>
      <c r="AN28" s="337" t="e">
        <f t="shared" si="1"/>
        <v>#DIV/0!</v>
      </c>
      <c r="AO28" s="337" t="e">
        <f t="shared" si="1"/>
        <v>#DIV/0!</v>
      </c>
      <c r="AP28" s="337">
        <f t="shared" si="1"/>
        <v>0.40134330156758602</v>
      </c>
      <c r="AQ28" s="337">
        <f t="shared" si="1"/>
        <v>0.40134330156758602</v>
      </c>
      <c r="AR28" s="337">
        <f t="shared" si="1"/>
        <v>0.40134330156758602</v>
      </c>
      <c r="AS28" s="337">
        <f t="shared" si="1"/>
        <v>0.40134330156758602</v>
      </c>
      <c r="AT28" s="337">
        <f t="shared" si="1"/>
        <v>0.40071983576531656</v>
      </c>
      <c r="AU28" s="337">
        <f t="shared" si="1"/>
        <v>0.54861417913740862</v>
      </c>
      <c r="AV28" s="337">
        <f t="shared" si="1"/>
        <v>0.54861417913740862</v>
      </c>
      <c r="AW28" s="337">
        <f t="shared" si="1"/>
        <v>0.54861417913740862</v>
      </c>
      <c r="AX28" s="337">
        <f t="shared" si="1"/>
        <v>0.54861417913740862</v>
      </c>
      <c r="AY28" s="337">
        <f t="shared" si="1"/>
        <v>0.54756302408623792</v>
      </c>
      <c r="AZ28" s="337">
        <f t="shared" si="1"/>
        <v>0.55249300507926669</v>
      </c>
      <c r="BA28" s="337">
        <f t="shared" si="1"/>
        <v>0.55249300507926669</v>
      </c>
      <c r="BB28" s="337">
        <f t="shared" si="1"/>
        <v>0.55249300507926669</v>
      </c>
      <c r="BC28" s="337">
        <f t="shared" si="1"/>
        <v>0.55249300507926669</v>
      </c>
      <c r="BD28" s="337">
        <f t="shared" si="1"/>
        <v>0.55493734180540777</v>
      </c>
      <c r="BE28" s="337">
        <f t="shared" si="1"/>
        <v>0.45992234897268403</v>
      </c>
      <c r="BF28" s="337">
        <f t="shared" si="1"/>
        <v>0.45992234897268403</v>
      </c>
      <c r="BG28" s="337">
        <f t="shared" si="1"/>
        <v>0.45992234897268403</v>
      </c>
      <c r="BH28" s="337">
        <f t="shared" si="1"/>
        <v>0.45992234897268403</v>
      </c>
      <c r="BI28" s="337">
        <f t="shared" si="1"/>
        <v>0.45785077280493236</v>
      </c>
      <c r="BJ28" s="337">
        <f t="shared" si="1"/>
        <v>0.46763655555704742</v>
      </c>
      <c r="BK28" s="337">
        <f t="shared" si="1"/>
        <v>0.46763655555704742</v>
      </c>
      <c r="BL28" s="337">
        <f t="shared" si="1"/>
        <v>0.46763655555704742</v>
      </c>
      <c r="BM28" s="337">
        <f t="shared" si="1"/>
        <v>0.46763655555704742</v>
      </c>
      <c r="BN28" s="337">
        <f t="shared" si="1"/>
        <v>0.46884948589568265</v>
      </c>
      <c r="BO28" s="337">
        <f t="shared" si="1"/>
        <v>0.43405638300482519</v>
      </c>
      <c r="BP28" s="337">
        <f t="shared" si="1"/>
        <v>0.43405638300482519</v>
      </c>
      <c r="BQ28" s="337">
        <f t="shared" si="1"/>
        <v>0.43405638300482519</v>
      </c>
      <c r="BR28" s="337">
        <f t="shared" si="1"/>
        <v>0.43405638300482519</v>
      </c>
      <c r="BS28" s="337">
        <f t="shared" ref="BS28:CX28" si="2">+BS81/BS55-1</f>
        <v>0.43362782179955572</v>
      </c>
      <c r="BT28" s="337">
        <f t="shared" si="2"/>
        <v>0.47453636858818982</v>
      </c>
      <c r="BU28" s="337">
        <f t="shared" si="2"/>
        <v>0.47453636858818982</v>
      </c>
      <c r="BV28" s="337">
        <f t="shared" si="2"/>
        <v>0.47453636858818982</v>
      </c>
      <c r="BW28" s="337">
        <f t="shared" si="2"/>
        <v>0.47453636858818982</v>
      </c>
      <c r="BX28" s="337">
        <f t="shared" si="2"/>
        <v>0.4746815635718824</v>
      </c>
      <c r="BY28" s="337" t="e">
        <f t="shared" si="2"/>
        <v>#DIV/0!</v>
      </c>
      <c r="BZ28" s="337" t="e">
        <f t="shared" si="2"/>
        <v>#DIV/0!</v>
      </c>
      <c r="CA28" s="337" t="e">
        <f t="shared" si="2"/>
        <v>#DIV/0!</v>
      </c>
      <c r="CB28" s="337" t="e">
        <f t="shared" si="2"/>
        <v>#DIV/0!</v>
      </c>
      <c r="CC28" s="337" t="e">
        <f t="shared" si="2"/>
        <v>#DIV/0!</v>
      </c>
      <c r="CD28" s="337">
        <f t="shared" si="2"/>
        <v>0.47167612529370651</v>
      </c>
      <c r="CE28" s="337">
        <f t="shared" si="2"/>
        <v>0.47167612529370651</v>
      </c>
      <c r="CF28" s="337">
        <f t="shared" si="2"/>
        <v>0.47167612529370651</v>
      </c>
      <c r="CG28" s="337">
        <f t="shared" si="2"/>
        <v>0.47167612529370651</v>
      </c>
      <c r="CH28" s="337">
        <f t="shared" si="2"/>
        <v>0.47129480393827272</v>
      </c>
      <c r="CI28" s="337">
        <f t="shared" si="2"/>
        <v>0.47731899204896067</v>
      </c>
      <c r="CJ28" s="337">
        <f t="shared" si="2"/>
        <v>0.47731899204896067</v>
      </c>
      <c r="CK28" s="337">
        <f t="shared" si="2"/>
        <v>0.47731899204896067</v>
      </c>
      <c r="CL28" s="337">
        <f t="shared" si="2"/>
        <v>0.47731899204896067</v>
      </c>
      <c r="CM28" s="337">
        <f t="shared" si="2"/>
        <v>0.47749669722661636</v>
      </c>
      <c r="CN28" s="337">
        <f t="shared" si="2"/>
        <v>0.51901872743806465</v>
      </c>
      <c r="CO28" s="337">
        <f t="shared" si="2"/>
        <v>0.51901872743806465</v>
      </c>
      <c r="CP28" s="337">
        <f t="shared" si="2"/>
        <v>0.51901872743806465</v>
      </c>
      <c r="CQ28" s="337">
        <f t="shared" si="2"/>
        <v>0.51901872743806465</v>
      </c>
      <c r="CR28" s="337">
        <f t="shared" si="2"/>
        <v>0.51896808241360737</v>
      </c>
      <c r="CS28" s="337" t="e">
        <f t="shared" si="2"/>
        <v>#DIV/0!</v>
      </c>
      <c r="CT28" s="337" t="e">
        <f t="shared" si="2"/>
        <v>#DIV/0!</v>
      </c>
      <c r="CU28" s="337" t="e">
        <f t="shared" si="2"/>
        <v>#DIV/0!</v>
      </c>
      <c r="CV28" s="337" t="e">
        <f t="shared" si="2"/>
        <v>#DIV/0!</v>
      </c>
      <c r="CW28" s="337" t="e">
        <f t="shared" si="2"/>
        <v>#DIV/0!</v>
      </c>
      <c r="CX28" s="337">
        <f t="shared" si="2"/>
        <v>0.40134330156758602</v>
      </c>
      <c r="CY28" s="337">
        <f t="shared" ref="CY28:DV28" si="3">+CY81/CY55-1</f>
        <v>0.40134330156758602</v>
      </c>
      <c r="CZ28" s="337">
        <f t="shared" si="3"/>
        <v>0.40134330156758602</v>
      </c>
      <c r="DA28" s="337">
        <f t="shared" si="3"/>
        <v>0.40134330156758602</v>
      </c>
      <c r="DB28" s="337">
        <f t="shared" si="3"/>
        <v>0.40071983576531656</v>
      </c>
      <c r="DC28" s="337">
        <f t="shared" si="3"/>
        <v>0.54861417913740862</v>
      </c>
      <c r="DD28" s="337">
        <f t="shared" si="3"/>
        <v>0.54861417913740862</v>
      </c>
      <c r="DE28" s="337">
        <f t="shared" si="3"/>
        <v>0.54861417913740862</v>
      </c>
      <c r="DF28" s="337">
        <f t="shared" si="3"/>
        <v>0.54861417913740862</v>
      </c>
      <c r="DG28" s="337">
        <f t="shared" si="3"/>
        <v>0.54756302408623792</v>
      </c>
      <c r="DH28" s="337">
        <f t="shared" si="3"/>
        <v>0.55249300507926669</v>
      </c>
      <c r="DI28" s="337">
        <f t="shared" si="3"/>
        <v>0.55249300507926669</v>
      </c>
      <c r="DJ28" s="337">
        <f t="shared" si="3"/>
        <v>0.55249300507926669</v>
      </c>
      <c r="DK28" s="337">
        <f t="shared" si="3"/>
        <v>0.55249300507926669</v>
      </c>
      <c r="DL28" s="337">
        <f t="shared" si="3"/>
        <v>0.55493734180540777</v>
      </c>
      <c r="DM28" s="337">
        <f t="shared" si="3"/>
        <v>0.45992234897268403</v>
      </c>
      <c r="DN28" s="337">
        <f t="shared" si="3"/>
        <v>0.45992234897268403</v>
      </c>
      <c r="DO28" s="337">
        <f t="shared" si="3"/>
        <v>0.45992234897268403</v>
      </c>
      <c r="DP28" s="337">
        <f t="shared" si="3"/>
        <v>0.45992234897268403</v>
      </c>
      <c r="DQ28" s="337">
        <f t="shared" si="3"/>
        <v>0.45785077280493236</v>
      </c>
      <c r="DR28" s="337">
        <f t="shared" si="3"/>
        <v>0.46763655555704742</v>
      </c>
      <c r="DS28" s="337">
        <f t="shared" si="3"/>
        <v>0.46763655555704742</v>
      </c>
      <c r="DT28" s="337">
        <f t="shared" si="3"/>
        <v>0.46763655555704742</v>
      </c>
      <c r="DU28" s="337">
        <f t="shared" si="3"/>
        <v>0.46763655555704742</v>
      </c>
      <c r="DV28" s="337">
        <f t="shared" si="3"/>
        <v>0.46884948589568265</v>
      </c>
    </row>
    <row r="29" spans="1:126" x14ac:dyDescent="0.3">
      <c r="B29" s="45"/>
      <c r="C29" s="45"/>
      <c r="D29" s="45"/>
      <c r="E29" s="38" t="s">
        <v>194</v>
      </c>
      <c r="F29" s="38"/>
      <c r="G29" s="390">
        <f t="array" ref="G29">IF(SUMPRODUCT((G17:BN17="Renewing")*((G14:BN14="Platinum")+(G14:BN14="Gold")+(G14:BN14="Silver")+(G14:BN14="Bronze")+(G14:BN14="Catastrophic")))=0, 0, INT(10000 * (SUMPRODUCT(1+G27:BN27,G47:BN47,G48:BN48,--(G17:BN17="Renewing")*((G14:BN14="Platinum")+(G14:BN14="Gold")+(G14:BN14="Silver")+(G14:BN14="Bronze")+(G14:BN14="Catastrophic")))/SUMPRODUCT(G47:BN47,G48:BN48,--(G17:BN17="Renewing")*((G14:BN14="Platinum")+(G14:BN14="Gold")+(G14:BN14="Silver")+(G14:BN14="Bronze")+(G14:BN14="Catastrophic")))-1)) / 10000)</f>
        <v>0.2452</v>
      </c>
      <c r="H29" s="391"/>
      <c r="I29" s="391"/>
      <c r="J29" s="391"/>
      <c r="K29" s="391"/>
      <c r="L29" s="391"/>
      <c r="M29" s="391"/>
      <c r="N29" s="391"/>
      <c r="O29" s="391"/>
      <c r="P29" s="391"/>
      <c r="Q29" s="391"/>
      <c r="R29" s="391"/>
      <c r="S29" s="391"/>
      <c r="T29" s="391"/>
      <c r="U29" s="391"/>
      <c r="V29" s="391"/>
      <c r="W29" s="391"/>
      <c r="X29" s="391"/>
      <c r="Y29" s="391"/>
      <c r="Z29" s="391"/>
      <c r="AA29" s="391"/>
      <c r="AB29" s="391"/>
      <c r="AC29" s="391"/>
      <c r="AD29" s="391"/>
      <c r="AE29" s="391"/>
      <c r="AF29" s="391"/>
      <c r="AG29" s="391"/>
      <c r="AH29" s="391"/>
      <c r="AI29" s="391"/>
      <c r="AJ29" s="391"/>
      <c r="AK29" s="391"/>
      <c r="AL29" s="391"/>
      <c r="AM29" s="391"/>
      <c r="AN29" s="391"/>
      <c r="AO29" s="391"/>
      <c r="AP29" s="391"/>
      <c r="AQ29" s="391"/>
      <c r="AR29" s="391"/>
      <c r="AS29" s="391"/>
      <c r="AT29" s="391"/>
      <c r="AU29" s="391"/>
      <c r="AV29" s="391"/>
      <c r="AW29" s="391"/>
      <c r="AX29" s="391"/>
      <c r="AY29" s="391"/>
      <c r="AZ29" s="391"/>
      <c r="BA29" s="391"/>
      <c r="BB29" s="391"/>
      <c r="BC29" s="391"/>
      <c r="BD29" s="391"/>
      <c r="BE29" s="391"/>
      <c r="BF29" s="391"/>
      <c r="BG29" s="391"/>
      <c r="BH29" s="391"/>
      <c r="BI29" s="391"/>
      <c r="BJ29" s="391"/>
      <c r="BK29" s="391"/>
      <c r="BL29" s="391"/>
      <c r="BM29" s="391"/>
      <c r="BN29" s="392"/>
      <c r="BO29" s="390">
        <f t="array" ref="BO29">IF(SUMPRODUCT((BO17:DV17="Renewing")*((BO14:DV14="Platinum")+(BO14:DV14="Gold")+(BO14:DV14="Silver")+(BO14:DV14="Bronze")+(BO14:DV14="Catastrophic")))=0, 0, INT(10000 * (SUMPRODUCT(1+BO27:DV27,BO47:DV47,BO48:DV48,--(BO17:DV17="Renewing")*((BO14:DV14="Platinum")+(BO14:DV14="Gold")+(BO14:DV14="Silver")+(BO14:DV14="Bronze")+(BO14:DV14="Catastrophic")))/SUMPRODUCT(BO47:DV47,BO48:DV48,--(BO17:DV17="Renewing")*((BO14:DV14="Platinum")+(BO14:DV14="Gold")+(BO14:DV14="Silver")+(BO14:DV14="Bronze")+(BO14:DV14="Catastrophic")))-1)) / 10000)</f>
        <v>0.2404</v>
      </c>
      <c r="BP29" s="391"/>
      <c r="BQ29" s="391"/>
      <c r="BR29" s="391"/>
      <c r="BS29" s="391"/>
      <c r="BT29" s="391"/>
      <c r="BU29" s="391"/>
      <c r="BV29" s="391"/>
      <c r="BW29" s="391"/>
      <c r="BX29" s="391"/>
      <c r="BY29" s="391"/>
      <c r="BZ29" s="391"/>
      <c r="CA29" s="391"/>
      <c r="CB29" s="391"/>
      <c r="CC29" s="391"/>
      <c r="CD29" s="391"/>
      <c r="CE29" s="391"/>
      <c r="CF29" s="391"/>
      <c r="CG29" s="391"/>
      <c r="CH29" s="391"/>
      <c r="CI29" s="391"/>
      <c r="CJ29" s="391"/>
      <c r="CK29" s="391"/>
      <c r="CL29" s="391"/>
      <c r="CM29" s="391"/>
      <c r="CN29" s="391"/>
      <c r="CO29" s="391"/>
      <c r="CP29" s="391"/>
      <c r="CQ29" s="391"/>
      <c r="CR29" s="391"/>
      <c r="CS29" s="391"/>
      <c r="CT29" s="391"/>
      <c r="CU29" s="391"/>
      <c r="CV29" s="391"/>
      <c r="CW29" s="391"/>
      <c r="CX29" s="391"/>
      <c r="CY29" s="391"/>
      <c r="CZ29" s="391"/>
      <c r="DA29" s="391"/>
      <c r="DB29" s="391"/>
      <c r="DC29" s="391"/>
      <c r="DD29" s="391"/>
      <c r="DE29" s="391"/>
      <c r="DF29" s="391"/>
      <c r="DG29" s="391"/>
      <c r="DH29" s="391"/>
      <c r="DI29" s="391"/>
      <c r="DJ29" s="391"/>
      <c r="DK29" s="391"/>
      <c r="DL29" s="391"/>
      <c r="DM29" s="391"/>
      <c r="DN29" s="391"/>
      <c r="DO29" s="391"/>
      <c r="DP29" s="391"/>
      <c r="DQ29" s="391"/>
      <c r="DR29" s="391"/>
      <c r="DS29" s="391"/>
      <c r="DT29" s="391"/>
      <c r="DU29" s="391"/>
      <c r="DV29" s="392"/>
    </row>
    <row r="30" spans="1:126" x14ac:dyDescent="0.3">
      <c r="B30" s="45"/>
      <c r="C30" s="45"/>
      <c r="D30" s="45"/>
      <c r="E30" s="86"/>
      <c r="F30" s="45"/>
      <c r="G30" s="330"/>
      <c r="H30" s="330"/>
      <c r="I30" s="330"/>
      <c r="J30" s="330"/>
      <c r="K30" s="330"/>
      <c r="L30" s="330"/>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c r="CG30" s="330"/>
      <c r="CH30" s="330"/>
      <c r="CI30" s="330"/>
      <c r="CJ30" s="330"/>
      <c r="CK30" s="330"/>
      <c r="CL30" s="330"/>
      <c r="CM30" s="330"/>
      <c r="CN30" s="330"/>
      <c r="CO30" s="330"/>
      <c r="CP30" s="330"/>
      <c r="CQ30" s="330"/>
      <c r="CR30" s="330"/>
      <c r="CS30" s="330"/>
      <c r="CT30" s="330"/>
      <c r="CU30" s="330"/>
      <c r="CV30" s="330"/>
      <c r="CW30" s="330"/>
      <c r="CX30" s="330"/>
      <c r="CY30" s="330"/>
      <c r="CZ30" s="330"/>
      <c r="DA30" s="330"/>
      <c r="DB30" s="330"/>
      <c r="DC30" s="330"/>
      <c r="DD30" s="330"/>
      <c r="DE30" s="330"/>
      <c r="DF30" s="330"/>
      <c r="DG30" s="330"/>
      <c r="DH30" s="330"/>
      <c r="DI30" s="330"/>
      <c r="DJ30" s="330"/>
      <c r="DK30" s="330"/>
      <c r="DL30" s="330"/>
      <c r="DM30" s="330"/>
      <c r="DN30" s="330"/>
      <c r="DO30" s="330"/>
      <c r="DP30" s="330"/>
      <c r="DQ30" s="330"/>
      <c r="DR30" s="330"/>
      <c r="DS30" s="330"/>
      <c r="DT30" s="330"/>
      <c r="DU30" s="330"/>
      <c r="DV30" s="330"/>
    </row>
    <row r="31" spans="1:126" x14ac:dyDescent="0.3">
      <c r="B31" s="45"/>
      <c r="C31" s="45"/>
      <c r="D31" s="45"/>
      <c r="E31" s="56" t="s">
        <v>42</v>
      </c>
      <c r="F31" s="56"/>
      <c r="G31" s="276"/>
      <c r="H31" s="276"/>
      <c r="I31" s="276"/>
      <c r="J31" s="276"/>
      <c r="K31" s="276"/>
      <c r="L31" s="276"/>
      <c r="M31" s="276"/>
      <c r="N31" s="276"/>
      <c r="O31" s="276"/>
      <c r="P31" s="276"/>
      <c r="Q31" s="276"/>
      <c r="R31" s="276"/>
      <c r="S31" s="276"/>
      <c r="T31" s="276"/>
      <c r="U31" s="276"/>
      <c r="V31" s="276"/>
      <c r="W31" s="276"/>
      <c r="X31" s="276"/>
      <c r="Y31" s="276"/>
      <c r="Z31" s="276"/>
      <c r="AA31" s="276"/>
      <c r="AB31" s="276"/>
      <c r="AC31" s="276"/>
      <c r="AD31" s="276"/>
      <c r="AE31" s="276"/>
      <c r="AF31" s="276"/>
      <c r="AG31" s="276"/>
      <c r="AH31" s="276"/>
      <c r="AI31" s="276"/>
      <c r="AJ31" s="276"/>
      <c r="AK31" s="276"/>
      <c r="AL31" s="276"/>
      <c r="AM31" s="276"/>
      <c r="AN31" s="276"/>
      <c r="AO31" s="276"/>
      <c r="AP31" s="276"/>
      <c r="AQ31" s="276"/>
      <c r="AR31" s="276"/>
      <c r="AS31" s="276"/>
      <c r="AT31" s="276"/>
      <c r="AU31" s="276"/>
      <c r="AV31" s="276"/>
      <c r="AW31" s="276"/>
      <c r="AX31" s="276"/>
      <c r="AY31" s="276"/>
      <c r="AZ31" s="276"/>
      <c r="BA31" s="276"/>
      <c r="BB31" s="276"/>
      <c r="BC31" s="276"/>
      <c r="BD31" s="276"/>
      <c r="BE31" s="276"/>
      <c r="BF31" s="276"/>
      <c r="BG31" s="276"/>
      <c r="BH31" s="276"/>
      <c r="BI31" s="276"/>
      <c r="BJ31" s="276"/>
      <c r="BK31" s="276"/>
      <c r="BL31" s="276"/>
      <c r="BM31" s="276"/>
      <c r="BN31" s="276"/>
      <c r="BO31" s="276"/>
      <c r="BP31" s="276"/>
      <c r="BQ31" s="276"/>
      <c r="BR31" s="276"/>
      <c r="BS31" s="276"/>
      <c r="BT31" s="276"/>
      <c r="BU31" s="276"/>
      <c r="BV31" s="276"/>
      <c r="BW31" s="276"/>
      <c r="BX31" s="276"/>
      <c r="BY31" s="276"/>
      <c r="BZ31" s="276"/>
      <c r="CA31" s="276"/>
      <c r="CB31" s="276"/>
      <c r="CC31" s="276"/>
      <c r="CD31" s="276"/>
      <c r="CE31" s="276"/>
      <c r="CF31" s="276"/>
      <c r="CG31" s="276"/>
      <c r="CH31" s="276"/>
      <c r="CI31" s="276"/>
      <c r="CJ31" s="276"/>
      <c r="CK31" s="276"/>
      <c r="CL31" s="276"/>
      <c r="CM31" s="276"/>
      <c r="CN31" s="276"/>
      <c r="CO31" s="276"/>
      <c r="CP31" s="276"/>
      <c r="CQ31" s="276"/>
      <c r="CR31" s="276"/>
      <c r="CS31" s="276"/>
      <c r="CT31" s="276"/>
      <c r="CU31" s="276"/>
      <c r="CV31" s="276"/>
      <c r="CW31" s="276"/>
      <c r="CX31" s="276"/>
      <c r="CY31" s="276"/>
      <c r="CZ31" s="276"/>
      <c r="DA31" s="276"/>
      <c r="DB31" s="276"/>
      <c r="DC31" s="276"/>
      <c r="DD31" s="276"/>
      <c r="DE31" s="276"/>
      <c r="DF31" s="276"/>
      <c r="DG31" s="276"/>
      <c r="DH31" s="276"/>
      <c r="DI31" s="276"/>
      <c r="DJ31" s="276"/>
      <c r="DK31" s="276"/>
      <c r="DL31" s="276"/>
      <c r="DM31" s="276"/>
      <c r="DN31" s="276"/>
      <c r="DO31" s="276"/>
      <c r="DP31" s="276"/>
      <c r="DQ31" s="276"/>
      <c r="DR31" s="276"/>
      <c r="DS31" s="276"/>
      <c r="DT31" s="276"/>
      <c r="DU31" s="276"/>
      <c r="DV31" s="276"/>
    </row>
    <row r="32" spans="1:126" x14ac:dyDescent="0.3">
      <c r="B32" s="45"/>
      <c r="C32" s="45"/>
      <c r="D32" s="45"/>
      <c r="E32" s="56"/>
      <c r="F32" s="56"/>
      <c r="G32" s="276"/>
      <c r="H32" s="276"/>
      <c r="I32" s="276"/>
      <c r="J32" s="276"/>
      <c r="K32" s="276"/>
      <c r="L32" s="276"/>
      <c r="M32" s="276"/>
      <c r="N32" s="276"/>
      <c r="O32" s="276"/>
      <c r="P32" s="276"/>
      <c r="Q32" s="276"/>
      <c r="R32" s="276"/>
      <c r="S32" s="276"/>
      <c r="T32" s="276"/>
      <c r="U32" s="276"/>
      <c r="V32" s="276"/>
      <c r="W32" s="276"/>
      <c r="X32" s="276"/>
      <c r="Y32" s="276"/>
      <c r="Z32" s="276"/>
      <c r="AA32" s="276"/>
      <c r="AB32" s="276"/>
      <c r="AC32" s="276"/>
      <c r="AD32" s="276"/>
      <c r="AE32" s="276"/>
      <c r="AF32" s="276"/>
      <c r="AG32" s="276"/>
      <c r="AH32" s="276"/>
      <c r="AI32" s="276"/>
      <c r="AJ32" s="276"/>
      <c r="AK32" s="276"/>
      <c r="AL32" s="276"/>
      <c r="AM32" s="276"/>
      <c r="AN32" s="276"/>
      <c r="AO32" s="276"/>
      <c r="AP32" s="276"/>
      <c r="AQ32" s="276"/>
      <c r="AR32" s="276"/>
      <c r="AS32" s="276"/>
      <c r="AT32" s="276"/>
      <c r="AU32" s="276"/>
      <c r="AV32" s="276"/>
      <c r="AW32" s="276"/>
      <c r="AX32" s="276"/>
      <c r="AY32" s="276"/>
      <c r="AZ32" s="276"/>
      <c r="BA32" s="276"/>
      <c r="BB32" s="276"/>
      <c r="BC32" s="276"/>
      <c r="BD32" s="276"/>
      <c r="BE32" s="276"/>
      <c r="BF32" s="276"/>
      <c r="BG32" s="276"/>
      <c r="BH32" s="276"/>
      <c r="BI32" s="276"/>
      <c r="BJ32" s="276"/>
      <c r="BK32" s="276"/>
      <c r="BL32" s="276"/>
      <c r="BM32" s="276"/>
      <c r="BN32" s="276"/>
      <c r="BO32" s="276"/>
      <c r="BP32" s="276"/>
      <c r="BQ32" s="276"/>
      <c r="BR32" s="276"/>
      <c r="BS32" s="276"/>
      <c r="BT32" s="276"/>
      <c r="BU32" s="276"/>
      <c r="BV32" s="276"/>
      <c r="BW32" s="276"/>
      <c r="BX32" s="276"/>
      <c r="BY32" s="276"/>
      <c r="BZ32" s="276"/>
      <c r="CA32" s="276"/>
      <c r="CB32" s="276"/>
      <c r="CC32" s="276"/>
      <c r="CD32" s="276"/>
      <c r="CE32" s="276"/>
      <c r="CF32" s="276"/>
      <c r="CG32" s="276"/>
      <c r="CH32" s="276"/>
      <c r="CI32" s="276"/>
      <c r="CJ32" s="276"/>
      <c r="CK32" s="276"/>
      <c r="CL32" s="276"/>
      <c r="CM32" s="276"/>
      <c r="CN32" s="276"/>
      <c r="CO32" s="276"/>
      <c r="CP32" s="276"/>
      <c r="CQ32" s="276"/>
      <c r="CR32" s="276"/>
      <c r="CS32" s="276"/>
      <c r="CT32" s="276"/>
      <c r="CU32" s="276"/>
      <c r="CV32" s="276"/>
      <c r="CW32" s="276"/>
      <c r="CX32" s="276"/>
      <c r="CY32" s="276"/>
      <c r="CZ32" s="276"/>
      <c r="DA32" s="276"/>
      <c r="DB32" s="276"/>
      <c r="DC32" s="276"/>
      <c r="DD32" s="276"/>
      <c r="DE32" s="276"/>
      <c r="DF32" s="276"/>
      <c r="DG32" s="276"/>
      <c r="DH32" s="276"/>
      <c r="DI32" s="276"/>
      <c r="DJ32" s="276"/>
      <c r="DK32" s="276"/>
      <c r="DL32" s="276"/>
      <c r="DM32" s="276"/>
      <c r="DN32" s="276"/>
      <c r="DO32" s="276"/>
      <c r="DP32" s="276"/>
      <c r="DQ32" s="276"/>
      <c r="DR32" s="276"/>
      <c r="DS32" s="276"/>
      <c r="DT32" s="276"/>
      <c r="DU32" s="276"/>
      <c r="DV32" s="276"/>
    </row>
    <row r="33" spans="2:130" x14ac:dyDescent="0.3">
      <c r="B33" s="45"/>
      <c r="C33" s="45"/>
      <c r="D33" s="45"/>
      <c r="E33" s="38" t="s">
        <v>179</v>
      </c>
      <c r="F33" s="57" t="s">
        <v>3</v>
      </c>
      <c r="G33" s="284" t="str">
        <f t="shared" ref="G33:AL33" si="4">G20</f>
        <v>21032CO0410001</v>
      </c>
      <c r="H33" s="284" t="str">
        <f t="shared" si="4"/>
        <v>21032CO0410011</v>
      </c>
      <c r="I33" s="284" t="str">
        <f t="shared" si="4"/>
        <v>21032CO0410010</v>
      </c>
      <c r="J33" s="284" t="str">
        <f t="shared" si="4"/>
        <v>21032CO0410037</v>
      </c>
      <c r="K33" s="284" t="str">
        <f t="shared" si="4"/>
        <v>21032CO0410028</v>
      </c>
      <c r="L33" s="284" t="str">
        <f t="shared" si="4"/>
        <v>21032CO0410002</v>
      </c>
      <c r="M33" s="284" t="str">
        <f t="shared" si="4"/>
        <v>21032CO0410013</v>
      </c>
      <c r="N33" s="284" t="str">
        <f t="shared" si="4"/>
        <v>21032CO0410012</v>
      </c>
      <c r="O33" s="284" t="str">
        <f t="shared" si="4"/>
        <v>21032CO0410038</v>
      </c>
      <c r="P33" s="284" t="str">
        <f t="shared" si="4"/>
        <v>21032CO0410029</v>
      </c>
      <c r="Q33" s="284" t="str">
        <f t="shared" si="4"/>
        <v>21032CO0410060</v>
      </c>
      <c r="R33" s="284" t="str">
        <f t="shared" si="4"/>
        <v>21032CO0410061</v>
      </c>
      <c r="S33" s="284" t="str">
        <f t="shared" si="4"/>
        <v>21032CO0410062</v>
      </c>
      <c r="T33" s="284" t="str">
        <f t="shared" si="4"/>
        <v>21032CO0410064</v>
      </c>
      <c r="U33" s="284" t="str">
        <f t="shared" si="4"/>
        <v>21032CO0410063</v>
      </c>
      <c r="V33" s="284" t="str">
        <f t="shared" si="4"/>
        <v>21032CO0410003</v>
      </c>
      <c r="W33" s="284" t="str">
        <f t="shared" si="4"/>
        <v>21032CO0410015</v>
      </c>
      <c r="X33" s="284" t="str">
        <f t="shared" si="4"/>
        <v>21032CO0410014</v>
      </c>
      <c r="Y33" s="284" t="str">
        <f t="shared" si="4"/>
        <v>21032CO0410039</v>
      </c>
      <c r="Z33" s="284" t="str">
        <f t="shared" si="4"/>
        <v>21032CO0410030</v>
      </c>
      <c r="AA33" s="284" t="str">
        <f t="shared" si="4"/>
        <v>21032CO0410004</v>
      </c>
      <c r="AB33" s="284" t="str">
        <f t="shared" si="4"/>
        <v>21032CO0410017</v>
      </c>
      <c r="AC33" s="284" t="str">
        <f t="shared" si="4"/>
        <v>21032CO0410016</v>
      </c>
      <c r="AD33" s="284" t="str">
        <f t="shared" si="4"/>
        <v>21032CO0410040</v>
      </c>
      <c r="AE33" s="284" t="str">
        <f t="shared" si="4"/>
        <v>21032CO0410031</v>
      </c>
      <c r="AF33" s="284" t="str">
        <f t="shared" si="4"/>
        <v>21032CO0410005</v>
      </c>
      <c r="AG33" s="284" t="str">
        <f t="shared" si="4"/>
        <v>21032CO0410019</v>
      </c>
      <c r="AH33" s="284" t="str">
        <f t="shared" si="4"/>
        <v>21032CO0410018</v>
      </c>
      <c r="AI33" s="284" t="str">
        <f t="shared" si="4"/>
        <v>21032CO0410041</v>
      </c>
      <c r="AJ33" s="284" t="str">
        <f t="shared" si="4"/>
        <v>21032CO0410032</v>
      </c>
      <c r="AK33" s="284" t="str">
        <f t="shared" si="4"/>
        <v>21032CO0410055</v>
      </c>
      <c r="AL33" s="284" t="str">
        <f t="shared" si="4"/>
        <v>21032CO0410056</v>
      </c>
      <c r="AM33" s="284" t="str">
        <f t="shared" ref="AM33:BR33" si="5">AM20</f>
        <v>21032CO0410057</v>
      </c>
      <c r="AN33" s="284" t="str">
        <f t="shared" si="5"/>
        <v>21032CO0410059</v>
      </c>
      <c r="AO33" s="284" t="str">
        <f t="shared" si="5"/>
        <v>21032CO0410058</v>
      </c>
      <c r="AP33" s="284" t="str">
        <f t="shared" si="5"/>
        <v>21032CO0410008</v>
      </c>
      <c r="AQ33" s="284" t="str">
        <f t="shared" si="5"/>
        <v>21032CO0410025</v>
      </c>
      <c r="AR33" s="284" t="str">
        <f t="shared" si="5"/>
        <v>21032CO0410024</v>
      </c>
      <c r="AS33" s="284" t="str">
        <f t="shared" si="5"/>
        <v>21032CO0410042</v>
      </c>
      <c r="AT33" s="284" t="str">
        <f t="shared" si="5"/>
        <v>21032CO0410033</v>
      </c>
      <c r="AU33" s="284" t="str">
        <f t="shared" si="5"/>
        <v>21032CO0410007</v>
      </c>
      <c r="AV33" s="284" t="str">
        <f t="shared" si="5"/>
        <v>21032CO0410021</v>
      </c>
      <c r="AW33" s="284" t="str">
        <f t="shared" si="5"/>
        <v>21032CO0410020</v>
      </c>
      <c r="AX33" s="284" t="str">
        <f t="shared" si="5"/>
        <v>21032CO0410043</v>
      </c>
      <c r="AY33" s="284" t="str">
        <f t="shared" si="5"/>
        <v>21032CO0410035</v>
      </c>
      <c r="AZ33" s="284" t="str">
        <f t="shared" si="5"/>
        <v>21032CO0410044</v>
      </c>
      <c r="BA33" s="284" t="str">
        <f t="shared" si="5"/>
        <v>21032CO0410045</v>
      </c>
      <c r="BB33" s="284" t="str">
        <f t="shared" si="5"/>
        <v>21032CO0410046</v>
      </c>
      <c r="BC33" s="284" t="str">
        <f t="shared" si="5"/>
        <v>21032CO0410048</v>
      </c>
      <c r="BD33" s="284" t="str">
        <f t="shared" si="5"/>
        <v>21032CO0410047</v>
      </c>
      <c r="BE33" s="284" t="str">
        <f t="shared" si="5"/>
        <v>21032CO0410049</v>
      </c>
      <c r="BF33" s="284" t="str">
        <f t="shared" si="5"/>
        <v>21032CO0410050</v>
      </c>
      <c r="BG33" s="284" t="str">
        <f t="shared" si="5"/>
        <v>21032CO0410051</v>
      </c>
      <c r="BH33" s="284" t="str">
        <f t="shared" si="5"/>
        <v>21032CO0410053</v>
      </c>
      <c r="BI33" s="284" t="str">
        <f t="shared" si="5"/>
        <v>21032CO0410052</v>
      </c>
      <c r="BJ33" s="284" t="str">
        <f t="shared" si="5"/>
        <v>21032CO0410009</v>
      </c>
      <c r="BK33" s="284" t="str">
        <f t="shared" si="5"/>
        <v>21032CO0410027</v>
      </c>
      <c r="BL33" s="284" t="str">
        <f t="shared" si="5"/>
        <v>21032CO0410026</v>
      </c>
      <c r="BM33" s="284" t="str">
        <f t="shared" si="5"/>
        <v>21032CO0410054</v>
      </c>
      <c r="BN33" s="284" t="str">
        <f t="shared" si="5"/>
        <v>21032CO0410036</v>
      </c>
      <c r="BO33" s="284" t="str">
        <f t="shared" si="5"/>
        <v>21032CO0610001</v>
      </c>
      <c r="BP33" s="284" t="str">
        <f t="shared" si="5"/>
        <v>21032CO0610011</v>
      </c>
      <c r="BQ33" s="284" t="str">
        <f t="shared" si="5"/>
        <v>21032CO0610010</v>
      </c>
      <c r="BR33" s="284" t="str">
        <f t="shared" si="5"/>
        <v>21032CO0610037</v>
      </c>
      <c r="BS33" s="284" t="str">
        <f t="shared" ref="BS33:CX33" si="6">BS20</f>
        <v>21032CO0610028</v>
      </c>
      <c r="BT33" s="284" t="str">
        <f t="shared" si="6"/>
        <v>21032CO0610002</v>
      </c>
      <c r="BU33" s="284" t="str">
        <f t="shared" si="6"/>
        <v>21032CO0610013</v>
      </c>
      <c r="BV33" s="284" t="str">
        <f t="shared" si="6"/>
        <v>21032CO0610012</v>
      </c>
      <c r="BW33" s="284" t="str">
        <f t="shared" si="6"/>
        <v>21032CO0610038</v>
      </c>
      <c r="BX33" s="284" t="str">
        <f t="shared" si="6"/>
        <v>21032CO0610029</v>
      </c>
      <c r="BY33" s="284" t="str">
        <f t="shared" si="6"/>
        <v>21032CO0610060</v>
      </c>
      <c r="BZ33" s="284" t="str">
        <f t="shared" si="6"/>
        <v>21032CO0610061</v>
      </c>
      <c r="CA33" s="284" t="str">
        <f t="shared" si="6"/>
        <v>21032CO0610062</v>
      </c>
      <c r="CB33" s="284" t="str">
        <f t="shared" si="6"/>
        <v>21032CO0610064</v>
      </c>
      <c r="CC33" s="284" t="str">
        <f t="shared" si="6"/>
        <v>21032CO0610063</v>
      </c>
      <c r="CD33" s="284" t="str">
        <f t="shared" si="6"/>
        <v>21032CO0610003</v>
      </c>
      <c r="CE33" s="284" t="str">
        <f t="shared" si="6"/>
        <v>21032CO0610015</v>
      </c>
      <c r="CF33" s="284" t="str">
        <f t="shared" si="6"/>
        <v>21032CO0610014</v>
      </c>
      <c r="CG33" s="284" t="str">
        <f t="shared" si="6"/>
        <v>21032CO0610039</v>
      </c>
      <c r="CH33" s="284" t="str">
        <f t="shared" si="6"/>
        <v>21032CO0610030</v>
      </c>
      <c r="CI33" s="284" t="str">
        <f t="shared" si="6"/>
        <v>21032CO0610004</v>
      </c>
      <c r="CJ33" s="284" t="str">
        <f t="shared" si="6"/>
        <v>21032CO0610017</v>
      </c>
      <c r="CK33" s="284" t="str">
        <f t="shared" si="6"/>
        <v>21032CO0610016</v>
      </c>
      <c r="CL33" s="284" t="str">
        <f t="shared" si="6"/>
        <v>21032CO0610040</v>
      </c>
      <c r="CM33" s="284" t="str">
        <f t="shared" si="6"/>
        <v>21032CO0610031</v>
      </c>
      <c r="CN33" s="284" t="str">
        <f t="shared" si="6"/>
        <v>21032CO0610005</v>
      </c>
      <c r="CO33" s="284" t="str">
        <f t="shared" si="6"/>
        <v>21032CO0610019</v>
      </c>
      <c r="CP33" s="284" t="str">
        <f t="shared" si="6"/>
        <v>21032CO0610018</v>
      </c>
      <c r="CQ33" s="284" t="str">
        <f t="shared" si="6"/>
        <v>21032CO0610041</v>
      </c>
      <c r="CR33" s="284" t="str">
        <f t="shared" si="6"/>
        <v>21032CO0610032</v>
      </c>
      <c r="CS33" s="284" t="str">
        <f t="shared" si="6"/>
        <v>21032CO0610055</v>
      </c>
      <c r="CT33" s="284" t="str">
        <f t="shared" si="6"/>
        <v>21032CO0610056</v>
      </c>
      <c r="CU33" s="284" t="str">
        <f t="shared" si="6"/>
        <v>21032CO0610057</v>
      </c>
      <c r="CV33" s="284" t="str">
        <f t="shared" si="6"/>
        <v>21032CO0610059</v>
      </c>
      <c r="CW33" s="284" t="str">
        <f t="shared" si="6"/>
        <v>21032CO0610058</v>
      </c>
      <c r="CX33" s="284" t="str">
        <f t="shared" si="6"/>
        <v>21032CO0610008</v>
      </c>
      <c r="CY33" s="284" t="str">
        <f t="shared" ref="CY33:DV33" si="7">CY20</f>
        <v>21032CO0610025</v>
      </c>
      <c r="CZ33" s="284" t="str">
        <f t="shared" si="7"/>
        <v>21032CO0610024</v>
      </c>
      <c r="DA33" s="284" t="str">
        <f t="shared" si="7"/>
        <v>21032CO0610042</v>
      </c>
      <c r="DB33" s="284" t="str">
        <f t="shared" si="7"/>
        <v>21032CO0610033</v>
      </c>
      <c r="DC33" s="284" t="str">
        <f t="shared" si="7"/>
        <v>21032CO0610006</v>
      </c>
      <c r="DD33" s="284" t="str">
        <f t="shared" si="7"/>
        <v>21032CO0610021</v>
      </c>
      <c r="DE33" s="284" t="str">
        <f t="shared" si="7"/>
        <v>21032CO0610020</v>
      </c>
      <c r="DF33" s="284" t="str">
        <f t="shared" si="7"/>
        <v>21032CO0610043</v>
      </c>
      <c r="DG33" s="284" t="str">
        <f t="shared" si="7"/>
        <v>21032CO0610035</v>
      </c>
      <c r="DH33" s="284" t="str">
        <f t="shared" si="7"/>
        <v>21032CO0610044</v>
      </c>
      <c r="DI33" s="284" t="str">
        <f t="shared" si="7"/>
        <v>21032CO0610045</v>
      </c>
      <c r="DJ33" s="284" t="str">
        <f t="shared" si="7"/>
        <v>21032CO0610046</v>
      </c>
      <c r="DK33" s="284" t="str">
        <f t="shared" si="7"/>
        <v>21032CO0610048</v>
      </c>
      <c r="DL33" s="284" t="str">
        <f t="shared" si="7"/>
        <v>21032CO0610047</v>
      </c>
      <c r="DM33" s="284" t="str">
        <f t="shared" si="7"/>
        <v>21032CO0610049</v>
      </c>
      <c r="DN33" s="284" t="str">
        <f t="shared" si="7"/>
        <v>21032CO0610050</v>
      </c>
      <c r="DO33" s="284" t="str">
        <f t="shared" si="7"/>
        <v>21032CO0610051</v>
      </c>
      <c r="DP33" s="284" t="str">
        <f t="shared" si="7"/>
        <v>21032CO0610053</v>
      </c>
      <c r="DQ33" s="284" t="str">
        <f t="shared" si="7"/>
        <v>21032CO0610052</v>
      </c>
      <c r="DR33" s="284" t="str">
        <f t="shared" si="7"/>
        <v>21032CO0610009</v>
      </c>
      <c r="DS33" s="284" t="str">
        <f t="shared" si="7"/>
        <v>21032CO0610027</v>
      </c>
      <c r="DT33" s="284" t="str">
        <f t="shared" si="7"/>
        <v>21032CO0610026</v>
      </c>
      <c r="DU33" s="284" t="str">
        <f t="shared" si="7"/>
        <v>21032CO0610054</v>
      </c>
      <c r="DV33" s="284" t="str">
        <f t="shared" si="7"/>
        <v>21032CO0610036</v>
      </c>
    </row>
    <row r="34" spans="2:130" x14ac:dyDescent="0.3">
      <c r="B34" s="58"/>
      <c r="C34" s="45"/>
      <c r="D34" s="45"/>
      <c r="E34" s="59" t="s">
        <v>29</v>
      </c>
      <c r="F34" s="268">
        <f t="shared" ref="F34:F44" si="8">SUMPRODUCT(G34:DV34,$G$56:$DV$56)/$F$56</f>
        <v>16.470481275049512</v>
      </c>
      <c r="G34" s="369">
        <v>18.857326971194588</v>
      </c>
      <c r="H34" s="369">
        <v>18.857326971194588</v>
      </c>
      <c r="I34" s="369">
        <v>18.857326971194588</v>
      </c>
      <c r="J34" s="369">
        <v>18.857326971194588</v>
      </c>
      <c r="K34" s="369">
        <v>17.167064460311671</v>
      </c>
      <c r="L34" s="369">
        <v>18.887703464389194</v>
      </c>
      <c r="M34" s="369">
        <v>18.887703464389194</v>
      </c>
      <c r="N34" s="369">
        <v>18.887703464389194</v>
      </c>
      <c r="O34" s="369">
        <v>18.887703464389194</v>
      </c>
      <c r="P34" s="369">
        <v>17.188866659649221</v>
      </c>
      <c r="Q34" s="369">
        <v>0</v>
      </c>
      <c r="R34" s="369">
        <v>0</v>
      </c>
      <c r="S34" s="369">
        <v>0</v>
      </c>
      <c r="T34" s="369">
        <v>0</v>
      </c>
      <c r="U34" s="369">
        <v>0</v>
      </c>
      <c r="V34" s="369">
        <v>15.635882157326208</v>
      </c>
      <c r="W34" s="369">
        <v>15.635882157326208</v>
      </c>
      <c r="X34" s="369">
        <v>15.635882157326208</v>
      </c>
      <c r="Y34" s="369">
        <v>15.635882157326208</v>
      </c>
      <c r="Z34" s="369">
        <v>14.225036228951492</v>
      </c>
      <c r="AA34" s="369">
        <v>16.999874079183783</v>
      </c>
      <c r="AB34" s="369">
        <v>16.999874079183783</v>
      </c>
      <c r="AC34" s="369">
        <v>16.999874079183783</v>
      </c>
      <c r="AD34" s="369">
        <v>16.999874079183783</v>
      </c>
      <c r="AE34" s="369">
        <v>15.465612189148317</v>
      </c>
      <c r="AF34" s="369">
        <v>17.799374225126176</v>
      </c>
      <c r="AG34" s="369">
        <v>17.799374225126176</v>
      </c>
      <c r="AH34" s="369">
        <v>17.799374225126176</v>
      </c>
      <c r="AI34" s="369">
        <v>17.799374225126176</v>
      </c>
      <c r="AJ34" s="369">
        <v>16.193977280976974</v>
      </c>
      <c r="AK34" s="369">
        <v>0</v>
      </c>
      <c r="AL34" s="369">
        <v>0</v>
      </c>
      <c r="AM34" s="369">
        <v>0</v>
      </c>
      <c r="AN34" s="369">
        <v>0</v>
      </c>
      <c r="AO34" s="369">
        <v>0</v>
      </c>
      <c r="AP34" s="369">
        <v>15.090277939194285</v>
      </c>
      <c r="AQ34" s="369">
        <v>15.090277939194285</v>
      </c>
      <c r="AR34" s="369">
        <v>15.090277939194285</v>
      </c>
      <c r="AS34" s="369">
        <v>15.090277939194285</v>
      </c>
      <c r="AT34" s="369">
        <v>13.727648002217531</v>
      </c>
      <c r="AU34" s="369">
        <v>15.97160193120436</v>
      </c>
      <c r="AV34" s="369">
        <v>15.97160193120436</v>
      </c>
      <c r="AW34" s="369">
        <v>15.97160193120436</v>
      </c>
      <c r="AX34" s="369">
        <v>15.97160193120436</v>
      </c>
      <c r="AY34" s="369">
        <v>14.514035908743807</v>
      </c>
      <c r="AZ34" s="369">
        <v>17.015990092117367</v>
      </c>
      <c r="BA34" s="369">
        <v>17.015990092117367</v>
      </c>
      <c r="BB34" s="369">
        <v>17.015990092117367</v>
      </c>
      <c r="BC34" s="369">
        <v>17.015990092117367</v>
      </c>
      <c r="BD34" s="369">
        <v>15.484569774568723</v>
      </c>
      <c r="BE34" s="369">
        <v>14.719527776613941</v>
      </c>
      <c r="BF34" s="369">
        <v>14.719527776613941</v>
      </c>
      <c r="BG34" s="369">
        <v>14.719527776613941</v>
      </c>
      <c r="BH34" s="369">
        <v>14.719527776613941</v>
      </c>
      <c r="BI34" s="369">
        <v>13.377148932836638</v>
      </c>
      <c r="BJ34" s="369">
        <v>13.40977477429321</v>
      </c>
      <c r="BK34" s="369">
        <v>13.40977477429321</v>
      </c>
      <c r="BL34" s="369">
        <v>0</v>
      </c>
      <c r="BM34" s="369">
        <v>13.40977477429321</v>
      </c>
      <c r="BN34" s="369">
        <v>12.211895651907275</v>
      </c>
      <c r="BO34" s="369">
        <v>18.857326971194588</v>
      </c>
      <c r="BP34" s="369">
        <v>18.857326971194588</v>
      </c>
      <c r="BQ34" s="369">
        <v>18.857326971194588</v>
      </c>
      <c r="BR34" s="369">
        <v>18.857326971194588</v>
      </c>
      <c r="BS34" s="369">
        <v>17.167064460311671</v>
      </c>
      <c r="BT34" s="369">
        <v>18.887703464389194</v>
      </c>
      <c r="BU34" s="369">
        <v>18.887703464389194</v>
      </c>
      <c r="BV34" s="369">
        <v>18.887703464389194</v>
      </c>
      <c r="BW34" s="369">
        <v>18.887703464389194</v>
      </c>
      <c r="BX34" s="369">
        <v>17.188866659649221</v>
      </c>
      <c r="BY34" s="369">
        <v>0</v>
      </c>
      <c r="BZ34" s="369">
        <v>0</v>
      </c>
      <c r="CA34" s="369">
        <v>0</v>
      </c>
      <c r="CB34" s="369">
        <v>0</v>
      </c>
      <c r="CC34" s="369">
        <v>0</v>
      </c>
      <c r="CD34" s="369">
        <v>15.635882157326208</v>
      </c>
      <c r="CE34" s="369">
        <v>15.635882157326208</v>
      </c>
      <c r="CF34" s="369">
        <v>15.635882157326208</v>
      </c>
      <c r="CG34" s="369">
        <v>15.635882157326208</v>
      </c>
      <c r="CH34" s="369">
        <v>14.225036228951492</v>
      </c>
      <c r="CI34" s="369">
        <v>16.999874079183783</v>
      </c>
      <c r="CJ34" s="369">
        <v>16.999874079183783</v>
      </c>
      <c r="CK34" s="369">
        <v>16.999874079183783</v>
      </c>
      <c r="CL34" s="369">
        <v>16.999874079183783</v>
      </c>
      <c r="CM34" s="369">
        <v>15.465612189148317</v>
      </c>
      <c r="CN34" s="369">
        <v>17.799374225126176</v>
      </c>
      <c r="CO34" s="369">
        <v>17.799374225126176</v>
      </c>
      <c r="CP34" s="369">
        <v>17.799374225126176</v>
      </c>
      <c r="CQ34" s="369">
        <v>17.799374225126176</v>
      </c>
      <c r="CR34" s="369">
        <v>16.193977280976974</v>
      </c>
      <c r="CS34" s="369">
        <v>0</v>
      </c>
      <c r="CT34" s="369">
        <v>0</v>
      </c>
      <c r="CU34" s="369">
        <v>0</v>
      </c>
      <c r="CV34" s="369">
        <v>0</v>
      </c>
      <c r="CW34" s="369">
        <v>0</v>
      </c>
      <c r="CX34" s="369">
        <v>15.090277939194285</v>
      </c>
      <c r="CY34" s="369">
        <v>15.090277939194285</v>
      </c>
      <c r="CZ34" s="369">
        <v>15.090277939194285</v>
      </c>
      <c r="DA34" s="369">
        <v>15.090277939194285</v>
      </c>
      <c r="DB34" s="369">
        <v>13.727648002217531</v>
      </c>
      <c r="DC34" s="369">
        <v>15.97160193120436</v>
      </c>
      <c r="DD34" s="369">
        <v>15.97160193120436</v>
      </c>
      <c r="DE34" s="369">
        <v>15.97160193120436</v>
      </c>
      <c r="DF34" s="369">
        <v>15.97160193120436</v>
      </c>
      <c r="DG34" s="369">
        <v>14.514035908743807</v>
      </c>
      <c r="DH34" s="369">
        <v>17.015990092117367</v>
      </c>
      <c r="DI34" s="369">
        <v>17.015990092117367</v>
      </c>
      <c r="DJ34" s="369">
        <v>17.015990092117367</v>
      </c>
      <c r="DK34" s="369">
        <v>17.015990092117367</v>
      </c>
      <c r="DL34" s="369">
        <v>15.484569774568723</v>
      </c>
      <c r="DM34" s="369">
        <v>14.719527776613941</v>
      </c>
      <c r="DN34" s="369">
        <v>14.719527776613941</v>
      </c>
      <c r="DO34" s="369">
        <v>14.719527776613941</v>
      </c>
      <c r="DP34" s="369">
        <v>14.719527776613941</v>
      </c>
      <c r="DQ34" s="369">
        <v>13.377148932836638</v>
      </c>
      <c r="DR34" s="369">
        <v>13.40977477429321</v>
      </c>
      <c r="DS34" s="369">
        <v>13.40977477429321</v>
      </c>
      <c r="DT34" s="369">
        <v>13.40977477429321</v>
      </c>
      <c r="DU34" s="369">
        <v>13.40977477429321</v>
      </c>
      <c r="DV34" s="369">
        <v>12.211895651907275</v>
      </c>
    </row>
    <row r="35" spans="2:130" x14ac:dyDescent="0.3">
      <c r="B35" s="58"/>
      <c r="C35" s="45"/>
      <c r="D35" s="45"/>
      <c r="E35" s="59" t="s">
        <v>30</v>
      </c>
      <c r="F35" s="268">
        <f t="shared" si="8"/>
        <v>14.091709755744432</v>
      </c>
      <c r="G35" s="369">
        <v>16.13383203621331</v>
      </c>
      <c r="H35" s="369">
        <v>16.13383203621331</v>
      </c>
      <c r="I35" s="369">
        <v>16.13383203621331</v>
      </c>
      <c r="J35" s="369">
        <v>16.13383203621331</v>
      </c>
      <c r="K35" s="369">
        <v>14.687687972987916</v>
      </c>
      <c r="L35" s="369">
        <v>16.159821363322056</v>
      </c>
      <c r="M35" s="369">
        <v>16.159821363322056</v>
      </c>
      <c r="N35" s="369">
        <v>16.159821363322056</v>
      </c>
      <c r="O35" s="369">
        <v>16.159821363322056</v>
      </c>
      <c r="P35" s="369">
        <v>14.706341360218747</v>
      </c>
      <c r="Q35" s="369">
        <v>0</v>
      </c>
      <c r="R35" s="369">
        <v>0</v>
      </c>
      <c r="S35" s="369">
        <v>0</v>
      </c>
      <c r="T35" s="369">
        <v>0</v>
      </c>
      <c r="U35" s="369">
        <v>0</v>
      </c>
      <c r="V35" s="369">
        <v>13.377648743624922</v>
      </c>
      <c r="W35" s="369">
        <v>13.377648743624922</v>
      </c>
      <c r="X35" s="369">
        <v>13.377648743624922</v>
      </c>
      <c r="Y35" s="369">
        <v>13.377648743624922</v>
      </c>
      <c r="Z35" s="369">
        <v>12.170566145325406</v>
      </c>
      <c r="AA35" s="369">
        <v>14.544644288625427</v>
      </c>
      <c r="AB35" s="369">
        <v>14.544644288625427</v>
      </c>
      <c r="AC35" s="369">
        <v>14.544644288625427</v>
      </c>
      <c r="AD35" s="369">
        <v>14.544644288625427</v>
      </c>
      <c r="AE35" s="369">
        <v>13.231970245734431</v>
      </c>
      <c r="AF35" s="369">
        <v>15.228675545402506</v>
      </c>
      <c r="AG35" s="369">
        <v>15.228675545402506</v>
      </c>
      <c r="AH35" s="369">
        <v>15.228675545402506</v>
      </c>
      <c r="AI35" s="369">
        <v>15.228675545402506</v>
      </c>
      <c r="AJ35" s="369">
        <v>13.855140224732793</v>
      </c>
      <c r="AK35" s="369">
        <v>0</v>
      </c>
      <c r="AL35" s="369">
        <v>0</v>
      </c>
      <c r="AM35" s="369">
        <v>0</v>
      </c>
      <c r="AN35" s="369">
        <v>0</v>
      </c>
      <c r="AO35" s="369">
        <v>0</v>
      </c>
      <c r="AP35" s="369">
        <v>12.910844152123889</v>
      </c>
      <c r="AQ35" s="369">
        <v>12.910844152123889</v>
      </c>
      <c r="AR35" s="369">
        <v>12.910844152123889</v>
      </c>
      <c r="AS35" s="369">
        <v>12.910844152123889</v>
      </c>
      <c r="AT35" s="369">
        <v>11.745013885496965</v>
      </c>
      <c r="AU35" s="369">
        <v>13.66488173540894</v>
      </c>
      <c r="AV35" s="369">
        <v>13.66488173540894</v>
      </c>
      <c r="AW35" s="369">
        <v>13.66488173540894</v>
      </c>
      <c r="AX35" s="369">
        <v>13.66488173540894</v>
      </c>
      <c r="AY35" s="369">
        <v>12.41782665575783</v>
      </c>
      <c r="AZ35" s="369">
        <v>14.558432724609014</v>
      </c>
      <c r="BA35" s="369">
        <v>14.558432724609014</v>
      </c>
      <c r="BB35" s="369">
        <v>14.558432724609014</v>
      </c>
      <c r="BC35" s="369">
        <v>14.558432724609014</v>
      </c>
      <c r="BD35" s="369">
        <v>13.248189856257824</v>
      </c>
      <c r="BE35" s="369">
        <v>12.593640082872332</v>
      </c>
      <c r="BF35" s="369">
        <v>12.593640082872332</v>
      </c>
      <c r="BG35" s="369">
        <v>12.593640082872332</v>
      </c>
      <c r="BH35" s="369">
        <v>12.593640082872332</v>
      </c>
      <c r="BI35" s="369">
        <v>11.445136117938576</v>
      </c>
      <c r="BJ35" s="369">
        <v>11.473049928146382</v>
      </c>
      <c r="BK35" s="369">
        <v>11.473049928146382</v>
      </c>
      <c r="BL35" s="369">
        <v>0</v>
      </c>
      <c r="BM35" s="369">
        <v>11.473049928146382</v>
      </c>
      <c r="BN35" s="369">
        <v>10.44817611703926</v>
      </c>
      <c r="BO35" s="369">
        <v>16.13383203621331</v>
      </c>
      <c r="BP35" s="369">
        <v>16.13383203621331</v>
      </c>
      <c r="BQ35" s="369">
        <v>16.13383203621331</v>
      </c>
      <c r="BR35" s="369">
        <v>16.13383203621331</v>
      </c>
      <c r="BS35" s="369">
        <v>14.687687972987916</v>
      </c>
      <c r="BT35" s="369">
        <v>16.159821363322056</v>
      </c>
      <c r="BU35" s="369">
        <v>16.159821363322056</v>
      </c>
      <c r="BV35" s="369">
        <v>16.159821363322056</v>
      </c>
      <c r="BW35" s="369">
        <v>16.159821363322056</v>
      </c>
      <c r="BX35" s="369">
        <v>14.706341360218747</v>
      </c>
      <c r="BY35" s="369">
        <v>0</v>
      </c>
      <c r="BZ35" s="369">
        <v>0</v>
      </c>
      <c r="CA35" s="369">
        <v>0</v>
      </c>
      <c r="CB35" s="369">
        <v>0</v>
      </c>
      <c r="CC35" s="369">
        <v>0</v>
      </c>
      <c r="CD35" s="369">
        <v>13.377648743624922</v>
      </c>
      <c r="CE35" s="369">
        <v>13.377648743624922</v>
      </c>
      <c r="CF35" s="369">
        <v>13.377648743624922</v>
      </c>
      <c r="CG35" s="369">
        <v>13.377648743624922</v>
      </c>
      <c r="CH35" s="369">
        <v>12.170566145325406</v>
      </c>
      <c r="CI35" s="369">
        <v>14.544644288625427</v>
      </c>
      <c r="CJ35" s="369">
        <v>14.544644288625427</v>
      </c>
      <c r="CK35" s="369">
        <v>14.544644288625427</v>
      </c>
      <c r="CL35" s="369">
        <v>14.544644288625427</v>
      </c>
      <c r="CM35" s="369">
        <v>13.231970245734431</v>
      </c>
      <c r="CN35" s="369">
        <v>15.228675545402506</v>
      </c>
      <c r="CO35" s="369">
        <v>15.228675545402506</v>
      </c>
      <c r="CP35" s="369">
        <v>15.228675545402506</v>
      </c>
      <c r="CQ35" s="369">
        <v>15.228675545402506</v>
      </c>
      <c r="CR35" s="369">
        <v>13.855140224732793</v>
      </c>
      <c r="CS35" s="369">
        <v>0</v>
      </c>
      <c r="CT35" s="369">
        <v>0</v>
      </c>
      <c r="CU35" s="369">
        <v>0</v>
      </c>
      <c r="CV35" s="369">
        <v>0</v>
      </c>
      <c r="CW35" s="369">
        <v>0</v>
      </c>
      <c r="CX35" s="369">
        <v>12.910844152123889</v>
      </c>
      <c r="CY35" s="369">
        <v>12.910844152123889</v>
      </c>
      <c r="CZ35" s="369">
        <v>12.910844152123889</v>
      </c>
      <c r="DA35" s="369">
        <v>12.910844152123889</v>
      </c>
      <c r="DB35" s="369">
        <v>11.745013885496965</v>
      </c>
      <c r="DC35" s="369">
        <v>13.66488173540894</v>
      </c>
      <c r="DD35" s="369">
        <v>13.66488173540894</v>
      </c>
      <c r="DE35" s="369">
        <v>13.66488173540894</v>
      </c>
      <c r="DF35" s="369">
        <v>13.66488173540894</v>
      </c>
      <c r="DG35" s="369">
        <v>12.41782665575783</v>
      </c>
      <c r="DH35" s="369">
        <v>14.558432724609014</v>
      </c>
      <c r="DI35" s="369">
        <v>14.558432724609014</v>
      </c>
      <c r="DJ35" s="369">
        <v>14.558432724609014</v>
      </c>
      <c r="DK35" s="369">
        <v>14.558432724609014</v>
      </c>
      <c r="DL35" s="369">
        <v>13.248189856257824</v>
      </c>
      <c r="DM35" s="369">
        <v>12.593640082872332</v>
      </c>
      <c r="DN35" s="369">
        <v>12.593640082872332</v>
      </c>
      <c r="DO35" s="369">
        <v>12.593640082872332</v>
      </c>
      <c r="DP35" s="369">
        <v>12.593640082872332</v>
      </c>
      <c r="DQ35" s="369">
        <v>11.445136117938576</v>
      </c>
      <c r="DR35" s="369">
        <v>11.473049928146382</v>
      </c>
      <c r="DS35" s="369">
        <v>11.473049928146382</v>
      </c>
      <c r="DT35" s="369">
        <v>11.473049928146382</v>
      </c>
      <c r="DU35" s="369">
        <v>11.473049928146382</v>
      </c>
      <c r="DV35" s="369">
        <v>10.44817611703926</v>
      </c>
    </row>
    <row r="36" spans="2:130" x14ac:dyDescent="0.3">
      <c r="B36" s="58"/>
      <c r="C36" s="45"/>
      <c r="D36" s="45"/>
      <c r="E36" s="48" t="s">
        <v>0</v>
      </c>
      <c r="F36" s="268">
        <f t="shared" si="8"/>
        <v>28.215576284390441</v>
      </c>
      <c r="G36" s="369">
        <v>32.304480894644335</v>
      </c>
      <c r="H36" s="369">
        <v>32.304480894644335</v>
      </c>
      <c r="I36" s="369">
        <v>32.304480894644335</v>
      </c>
      <c r="J36" s="369">
        <v>32.304480894644335</v>
      </c>
      <c r="K36" s="369">
        <v>29.408892719652233</v>
      </c>
      <c r="L36" s="369">
        <v>32.356518855567977</v>
      </c>
      <c r="M36" s="369">
        <v>32.356518855567977</v>
      </c>
      <c r="N36" s="369">
        <v>32.356518855567977</v>
      </c>
      <c r="O36" s="369">
        <v>32.356518855567977</v>
      </c>
      <c r="P36" s="369">
        <v>29.446242060470102</v>
      </c>
      <c r="Q36" s="369">
        <v>0</v>
      </c>
      <c r="R36" s="369">
        <v>0</v>
      </c>
      <c r="S36" s="369">
        <v>0</v>
      </c>
      <c r="T36" s="369">
        <v>0</v>
      </c>
      <c r="U36" s="369">
        <v>0</v>
      </c>
      <c r="V36" s="369">
        <v>26.785824798701931</v>
      </c>
      <c r="W36" s="369">
        <v>26.785824798701931</v>
      </c>
      <c r="X36" s="369">
        <v>26.785824798701931</v>
      </c>
      <c r="Y36" s="369">
        <v>26.785824798701931</v>
      </c>
      <c r="Z36" s="369">
        <v>24.368905083193571</v>
      </c>
      <c r="AA36" s="369">
        <v>29.122478930403926</v>
      </c>
      <c r="AB36" s="369">
        <v>29.122478930403926</v>
      </c>
      <c r="AC36" s="369">
        <v>29.122478930403926</v>
      </c>
      <c r="AD36" s="369">
        <v>29.122478930403926</v>
      </c>
      <c r="AE36" s="369">
        <v>26.494135369848273</v>
      </c>
      <c r="AF36" s="369">
        <v>30.492102378590079</v>
      </c>
      <c r="AG36" s="369">
        <v>30.492102378590079</v>
      </c>
      <c r="AH36" s="369">
        <v>30.492102378590079</v>
      </c>
      <c r="AI36" s="369">
        <v>30.492102378590079</v>
      </c>
      <c r="AJ36" s="369">
        <v>27.741897379238413</v>
      </c>
      <c r="AK36" s="369">
        <v>0</v>
      </c>
      <c r="AL36" s="369">
        <v>0</v>
      </c>
      <c r="AM36" s="369">
        <v>0</v>
      </c>
      <c r="AN36" s="369">
        <v>0</v>
      </c>
      <c r="AO36" s="369">
        <v>0</v>
      </c>
      <c r="AP36" s="369">
        <v>25.851150384475371</v>
      </c>
      <c r="AQ36" s="369">
        <v>25.851150384475371</v>
      </c>
      <c r="AR36" s="369">
        <v>25.851150384475371</v>
      </c>
      <c r="AS36" s="369">
        <v>25.851150384475371</v>
      </c>
      <c r="AT36" s="369">
        <v>23.516829468643714</v>
      </c>
      <c r="AU36" s="369">
        <v>27.360946237587076</v>
      </c>
      <c r="AV36" s="369">
        <v>27.360946237587076</v>
      </c>
      <c r="AW36" s="369">
        <v>27.360946237587076</v>
      </c>
      <c r="AX36" s="369">
        <v>27.360946237587076</v>
      </c>
      <c r="AY36" s="369">
        <v>24.863990343616234</v>
      </c>
      <c r="AZ36" s="369">
        <v>29.150087267084199</v>
      </c>
      <c r="BA36" s="369">
        <v>29.150087267084199</v>
      </c>
      <c r="BB36" s="369">
        <v>29.150087267084199</v>
      </c>
      <c r="BC36" s="369">
        <v>29.150087267084199</v>
      </c>
      <c r="BD36" s="369">
        <v>26.526611603460687</v>
      </c>
      <c r="BE36" s="369">
        <v>25.216018397738424</v>
      </c>
      <c r="BF36" s="369">
        <v>25.216018397738424</v>
      </c>
      <c r="BG36" s="369">
        <v>25.216018397738424</v>
      </c>
      <c r="BH36" s="369">
        <v>25.216018397738424</v>
      </c>
      <c r="BI36" s="369">
        <v>22.916389623288026</v>
      </c>
      <c r="BJ36" s="369">
        <v>22.972280942010741</v>
      </c>
      <c r="BK36" s="369">
        <v>22.972280942010741</v>
      </c>
      <c r="BL36" s="369">
        <v>0</v>
      </c>
      <c r="BM36" s="369">
        <v>22.972280942010741</v>
      </c>
      <c r="BN36" s="369">
        <v>20.920194594761156</v>
      </c>
      <c r="BO36" s="369">
        <v>32.304480894644335</v>
      </c>
      <c r="BP36" s="369">
        <v>32.304480894644335</v>
      </c>
      <c r="BQ36" s="369">
        <v>32.304480894644335</v>
      </c>
      <c r="BR36" s="369">
        <v>32.304480894644335</v>
      </c>
      <c r="BS36" s="369">
        <v>29.408892719652233</v>
      </c>
      <c r="BT36" s="369">
        <v>32.356518855567977</v>
      </c>
      <c r="BU36" s="369">
        <v>32.356518855567977</v>
      </c>
      <c r="BV36" s="369">
        <v>32.356518855567977</v>
      </c>
      <c r="BW36" s="369">
        <v>32.356518855567977</v>
      </c>
      <c r="BX36" s="369">
        <v>29.446242060470102</v>
      </c>
      <c r="BY36" s="369">
        <v>0</v>
      </c>
      <c r="BZ36" s="369">
        <v>0</v>
      </c>
      <c r="CA36" s="369">
        <v>0</v>
      </c>
      <c r="CB36" s="369">
        <v>0</v>
      </c>
      <c r="CC36" s="369">
        <v>0</v>
      </c>
      <c r="CD36" s="369">
        <v>26.785824798701931</v>
      </c>
      <c r="CE36" s="369">
        <v>26.785824798701931</v>
      </c>
      <c r="CF36" s="369">
        <v>26.785824798701931</v>
      </c>
      <c r="CG36" s="369">
        <v>26.785824798701931</v>
      </c>
      <c r="CH36" s="369">
        <v>24.368905083193571</v>
      </c>
      <c r="CI36" s="369">
        <v>29.122478930403926</v>
      </c>
      <c r="CJ36" s="369">
        <v>29.122478930403926</v>
      </c>
      <c r="CK36" s="369">
        <v>29.122478930403926</v>
      </c>
      <c r="CL36" s="369">
        <v>29.122478930403926</v>
      </c>
      <c r="CM36" s="369">
        <v>26.494135369848273</v>
      </c>
      <c r="CN36" s="369">
        <v>30.492102378590079</v>
      </c>
      <c r="CO36" s="369">
        <v>30.492102378590079</v>
      </c>
      <c r="CP36" s="369">
        <v>30.492102378590079</v>
      </c>
      <c r="CQ36" s="369">
        <v>30.492102378590079</v>
      </c>
      <c r="CR36" s="369">
        <v>27.741897379238413</v>
      </c>
      <c r="CS36" s="369">
        <v>0</v>
      </c>
      <c r="CT36" s="369">
        <v>0</v>
      </c>
      <c r="CU36" s="369">
        <v>0</v>
      </c>
      <c r="CV36" s="369">
        <v>0</v>
      </c>
      <c r="CW36" s="369">
        <v>0</v>
      </c>
      <c r="CX36" s="369">
        <v>25.851150384475371</v>
      </c>
      <c r="CY36" s="369">
        <v>25.851150384475371</v>
      </c>
      <c r="CZ36" s="369">
        <v>25.851150384475371</v>
      </c>
      <c r="DA36" s="369">
        <v>25.851150384475371</v>
      </c>
      <c r="DB36" s="369">
        <v>23.516829468643714</v>
      </c>
      <c r="DC36" s="369">
        <v>27.360946237587076</v>
      </c>
      <c r="DD36" s="369">
        <v>27.360946237587076</v>
      </c>
      <c r="DE36" s="369">
        <v>27.360946237587076</v>
      </c>
      <c r="DF36" s="369">
        <v>27.360946237587076</v>
      </c>
      <c r="DG36" s="369">
        <v>24.863990343616234</v>
      </c>
      <c r="DH36" s="369">
        <v>29.150087267084199</v>
      </c>
      <c r="DI36" s="369">
        <v>29.150087267084199</v>
      </c>
      <c r="DJ36" s="369">
        <v>29.150087267084199</v>
      </c>
      <c r="DK36" s="369">
        <v>29.150087267084199</v>
      </c>
      <c r="DL36" s="369">
        <v>26.526611603460687</v>
      </c>
      <c r="DM36" s="369">
        <v>25.216018397738424</v>
      </c>
      <c r="DN36" s="369">
        <v>25.216018397738424</v>
      </c>
      <c r="DO36" s="369">
        <v>25.216018397738424</v>
      </c>
      <c r="DP36" s="369">
        <v>25.216018397738424</v>
      </c>
      <c r="DQ36" s="369">
        <v>22.916389623288026</v>
      </c>
      <c r="DR36" s="369">
        <v>22.972280942010741</v>
      </c>
      <c r="DS36" s="369">
        <v>22.972280942010741</v>
      </c>
      <c r="DT36" s="369">
        <v>22.972280942010741</v>
      </c>
      <c r="DU36" s="369">
        <v>22.972280942010741</v>
      </c>
      <c r="DV36" s="369">
        <v>20.920194594761156</v>
      </c>
    </row>
    <row r="37" spans="2:130" x14ac:dyDescent="0.3">
      <c r="B37" s="58"/>
      <c r="C37" s="45"/>
      <c r="D37" s="45"/>
      <c r="E37" s="60" t="s">
        <v>31</v>
      </c>
      <c r="F37" s="268">
        <f t="shared" si="8"/>
        <v>9.2434889145913157</v>
      </c>
      <c r="G37" s="369">
        <v>10.583023647348579</v>
      </c>
      <c r="H37" s="369">
        <v>10.583023647348579</v>
      </c>
      <c r="I37" s="369">
        <v>10.583023647348579</v>
      </c>
      <c r="J37" s="369">
        <v>10.583023647348579</v>
      </c>
      <c r="K37" s="369">
        <v>9.6344221753464474</v>
      </c>
      <c r="L37" s="369">
        <v>10.600071405299275</v>
      </c>
      <c r="M37" s="369">
        <v>10.600071405299275</v>
      </c>
      <c r="N37" s="369">
        <v>10.600071405299275</v>
      </c>
      <c r="O37" s="369">
        <v>10.600071405299275</v>
      </c>
      <c r="P37" s="369">
        <v>9.6466579069273859</v>
      </c>
      <c r="Q37" s="369">
        <v>0</v>
      </c>
      <c r="R37" s="369">
        <v>0</v>
      </c>
      <c r="S37" s="369">
        <v>0</v>
      </c>
      <c r="T37" s="369">
        <v>0</v>
      </c>
      <c r="U37" s="369">
        <v>0</v>
      </c>
      <c r="V37" s="369">
        <v>8.7750989772256336</v>
      </c>
      <c r="W37" s="369">
        <v>8.7750989772256336</v>
      </c>
      <c r="X37" s="369">
        <v>8.7750989772256336</v>
      </c>
      <c r="Y37" s="369">
        <v>8.7750989772256336</v>
      </c>
      <c r="Z37" s="369">
        <v>7.9833104143204618</v>
      </c>
      <c r="AA37" s="369">
        <v>9.5405923467716729</v>
      </c>
      <c r="AB37" s="369">
        <v>9.5405923467716729</v>
      </c>
      <c r="AC37" s="369">
        <v>9.5405923467716729</v>
      </c>
      <c r="AD37" s="369">
        <v>9.5405923467716729</v>
      </c>
      <c r="AE37" s="369">
        <v>8.6795408367525688</v>
      </c>
      <c r="AF37" s="369">
        <v>9.9892841981402007</v>
      </c>
      <c r="AG37" s="369">
        <v>9.9892841981402007</v>
      </c>
      <c r="AH37" s="369">
        <v>9.9892841981402007</v>
      </c>
      <c r="AI37" s="369">
        <v>9.9892841981402007</v>
      </c>
      <c r="AJ37" s="369">
        <v>9.0883105951865542</v>
      </c>
      <c r="AK37" s="369">
        <v>0</v>
      </c>
      <c r="AL37" s="369">
        <v>0</v>
      </c>
      <c r="AM37" s="369">
        <v>0</v>
      </c>
      <c r="AN37" s="369">
        <v>0</v>
      </c>
      <c r="AO37" s="369">
        <v>0</v>
      </c>
      <c r="AP37" s="369">
        <v>8.4688974486949196</v>
      </c>
      <c r="AQ37" s="369">
        <v>8.4688974486949196</v>
      </c>
      <c r="AR37" s="369">
        <v>8.4688974486949196</v>
      </c>
      <c r="AS37" s="369">
        <v>8.4688974486949196</v>
      </c>
      <c r="AT37" s="369">
        <v>7.7041684461359434</v>
      </c>
      <c r="AU37" s="369">
        <v>8.9635101084141784</v>
      </c>
      <c r="AV37" s="369">
        <v>8.9635101084141784</v>
      </c>
      <c r="AW37" s="369">
        <v>8.9635101084141784</v>
      </c>
      <c r="AX37" s="369">
        <v>8.9635101084141784</v>
      </c>
      <c r="AY37" s="369">
        <v>8.1455015058781495</v>
      </c>
      <c r="AZ37" s="369">
        <v>9.5496369025688779</v>
      </c>
      <c r="BA37" s="369">
        <v>9.5496369025688779</v>
      </c>
      <c r="BB37" s="369">
        <v>9.5496369025688779</v>
      </c>
      <c r="BC37" s="369">
        <v>9.5496369025688779</v>
      </c>
      <c r="BD37" s="369">
        <v>8.6901801269927645</v>
      </c>
      <c r="BE37" s="369">
        <v>8.2608267213940838</v>
      </c>
      <c r="BF37" s="369">
        <v>8.2608267213940838</v>
      </c>
      <c r="BG37" s="369">
        <v>8.2608267213940838</v>
      </c>
      <c r="BH37" s="369">
        <v>8.2608267213940838</v>
      </c>
      <c r="BI37" s="369">
        <v>7.5074629456534074</v>
      </c>
      <c r="BJ37" s="369">
        <v>7.5257730726495069</v>
      </c>
      <c r="BK37" s="369">
        <v>7.5257730726495069</v>
      </c>
      <c r="BL37" s="369">
        <v>0</v>
      </c>
      <c r="BM37" s="369">
        <v>7.5257730726495069</v>
      </c>
      <c r="BN37" s="369">
        <v>6.8535047761809516</v>
      </c>
      <c r="BO37" s="369">
        <v>10.583023647348579</v>
      </c>
      <c r="BP37" s="369">
        <v>10.583023647348579</v>
      </c>
      <c r="BQ37" s="369">
        <v>10.583023647348579</v>
      </c>
      <c r="BR37" s="369">
        <v>10.583023647348579</v>
      </c>
      <c r="BS37" s="369">
        <v>9.6344221753464474</v>
      </c>
      <c r="BT37" s="369">
        <v>10.600071405299275</v>
      </c>
      <c r="BU37" s="369">
        <v>10.600071405299275</v>
      </c>
      <c r="BV37" s="369">
        <v>10.600071405299275</v>
      </c>
      <c r="BW37" s="369">
        <v>10.600071405299275</v>
      </c>
      <c r="BX37" s="369">
        <v>9.6466579069273859</v>
      </c>
      <c r="BY37" s="369">
        <v>0</v>
      </c>
      <c r="BZ37" s="369">
        <v>0</v>
      </c>
      <c r="CA37" s="369">
        <v>0</v>
      </c>
      <c r="CB37" s="369">
        <v>0</v>
      </c>
      <c r="CC37" s="369">
        <v>0</v>
      </c>
      <c r="CD37" s="369">
        <v>8.7750989772256336</v>
      </c>
      <c r="CE37" s="369">
        <v>8.7750989772256336</v>
      </c>
      <c r="CF37" s="369">
        <v>8.7750989772256336</v>
      </c>
      <c r="CG37" s="369">
        <v>8.7750989772256336</v>
      </c>
      <c r="CH37" s="369">
        <v>7.9833104143204618</v>
      </c>
      <c r="CI37" s="369">
        <v>9.5405923467716729</v>
      </c>
      <c r="CJ37" s="369">
        <v>9.5405923467716729</v>
      </c>
      <c r="CK37" s="369">
        <v>9.5405923467716729</v>
      </c>
      <c r="CL37" s="369">
        <v>9.5405923467716729</v>
      </c>
      <c r="CM37" s="369">
        <v>8.6795408367525688</v>
      </c>
      <c r="CN37" s="369">
        <v>9.9892841981402007</v>
      </c>
      <c r="CO37" s="369">
        <v>9.9892841981402007</v>
      </c>
      <c r="CP37" s="369">
        <v>9.9892841981402007</v>
      </c>
      <c r="CQ37" s="369">
        <v>9.9892841981402007</v>
      </c>
      <c r="CR37" s="369">
        <v>9.0883105951865542</v>
      </c>
      <c r="CS37" s="369">
        <v>0</v>
      </c>
      <c r="CT37" s="369">
        <v>0</v>
      </c>
      <c r="CU37" s="369">
        <v>0</v>
      </c>
      <c r="CV37" s="369">
        <v>0</v>
      </c>
      <c r="CW37" s="369">
        <v>0</v>
      </c>
      <c r="CX37" s="369">
        <v>8.4688974486949196</v>
      </c>
      <c r="CY37" s="369">
        <v>8.4688974486949196</v>
      </c>
      <c r="CZ37" s="369">
        <v>8.4688974486949196</v>
      </c>
      <c r="DA37" s="369">
        <v>8.4688974486949196</v>
      </c>
      <c r="DB37" s="369">
        <v>7.7041684461359434</v>
      </c>
      <c r="DC37" s="369">
        <v>8.9635101084141784</v>
      </c>
      <c r="DD37" s="369">
        <v>8.9635101084141784</v>
      </c>
      <c r="DE37" s="369">
        <v>8.9635101084141784</v>
      </c>
      <c r="DF37" s="369">
        <v>8.9635101084141784</v>
      </c>
      <c r="DG37" s="369">
        <v>8.1455015058781495</v>
      </c>
      <c r="DH37" s="369">
        <v>9.5496369025688779</v>
      </c>
      <c r="DI37" s="369">
        <v>9.5496369025688779</v>
      </c>
      <c r="DJ37" s="369">
        <v>9.5496369025688779</v>
      </c>
      <c r="DK37" s="369">
        <v>9.5496369025688779</v>
      </c>
      <c r="DL37" s="369">
        <v>8.6901801269927645</v>
      </c>
      <c r="DM37" s="369">
        <v>8.2608267213940838</v>
      </c>
      <c r="DN37" s="369">
        <v>8.2608267213940838</v>
      </c>
      <c r="DO37" s="369">
        <v>8.2608267213940838</v>
      </c>
      <c r="DP37" s="369">
        <v>8.2608267213940838</v>
      </c>
      <c r="DQ37" s="369">
        <v>7.5074629456534074</v>
      </c>
      <c r="DR37" s="369">
        <v>7.5257730726495069</v>
      </c>
      <c r="DS37" s="369">
        <v>7.5257730726495069</v>
      </c>
      <c r="DT37" s="369">
        <v>7.5257730726495069</v>
      </c>
      <c r="DU37" s="369">
        <v>7.5257730726495069</v>
      </c>
      <c r="DV37" s="369">
        <v>6.8535047761809516</v>
      </c>
    </row>
    <row r="38" spans="2:130" x14ac:dyDescent="0.3">
      <c r="B38" s="58"/>
      <c r="C38" s="45"/>
      <c r="D38" s="45"/>
      <c r="E38" s="48" t="s">
        <v>32</v>
      </c>
      <c r="F38" s="268">
        <f t="shared" si="8"/>
        <v>1.6569829863148202</v>
      </c>
      <c r="G38" s="369">
        <v>1.8971072816177372</v>
      </c>
      <c r="H38" s="369">
        <v>1.8971072816177372</v>
      </c>
      <c r="I38" s="369">
        <v>1.8971072816177372</v>
      </c>
      <c r="J38" s="369">
        <v>1.8971072816177372</v>
      </c>
      <c r="K38" s="369">
        <v>1.7270614780879103</v>
      </c>
      <c r="L38" s="369">
        <v>1.9001632537879989</v>
      </c>
      <c r="M38" s="369">
        <v>1.9001632537879989</v>
      </c>
      <c r="N38" s="369">
        <v>1.9001632537879989</v>
      </c>
      <c r="O38" s="369">
        <v>1.9001632537879989</v>
      </c>
      <c r="P38" s="369">
        <v>1.7292548489289488</v>
      </c>
      <c r="Q38" s="369">
        <v>0</v>
      </c>
      <c r="R38" s="369">
        <v>0</v>
      </c>
      <c r="S38" s="369">
        <v>0</v>
      </c>
      <c r="T38" s="369">
        <v>0</v>
      </c>
      <c r="U38" s="369">
        <v>0</v>
      </c>
      <c r="V38" s="369">
        <v>1.573019651220551</v>
      </c>
      <c r="W38" s="369">
        <v>1.573019651220551</v>
      </c>
      <c r="X38" s="369">
        <v>1.573019651220551</v>
      </c>
      <c r="Y38" s="369">
        <v>1.573019651220551</v>
      </c>
      <c r="Z38" s="369">
        <v>1.4310840477254787</v>
      </c>
      <c r="AA38" s="369">
        <v>1.7102415921126253</v>
      </c>
      <c r="AB38" s="369">
        <v>1.7102415921126253</v>
      </c>
      <c r="AC38" s="369">
        <v>1.7102415921126253</v>
      </c>
      <c r="AD38" s="369">
        <v>1.7102415921126253</v>
      </c>
      <c r="AE38" s="369">
        <v>1.5558899489586915</v>
      </c>
      <c r="AF38" s="369">
        <v>1.7906738586177684</v>
      </c>
      <c r="AG38" s="369">
        <v>1.7906738586177684</v>
      </c>
      <c r="AH38" s="369">
        <v>1.7906738586177684</v>
      </c>
      <c r="AI38" s="369">
        <v>1.7906738586177684</v>
      </c>
      <c r="AJ38" s="369">
        <v>1.629165801973016</v>
      </c>
      <c r="AK38" s="369">
        <v>0</v>
      </c>
      <c r="AL38" s="369">
        <v>0</v>
      </c>
      <c r="AM38" s="369">
        <v>0</v>
      </c>
      <c r="AN38" s="369">
        <v>0</v>
      </c>
      <c r="AO38" s="369">
        <v>0</v>
      </c>
      <c r="AP38" s="369">
        <v>1.5181301254314221</v>
      </c>
      <c r="AQ38" s="369">
        <v>1.5181301254314221</v>
      </c>
      <c r="AR38" s="369">
        <v>1.5181301254314221</v>
      </c>
      <c r="AS38" s="369">
        <v>1.5181301254314221</v>
      </c>
      <c r="AT38" s="369">
        <v>1.3810452045655059</v>
      </c>
      <c r="AU38" s="369">
        <v>1.6067941320141543</v>
      </c>
      <c r="AV38" s="369">
        <v>1.6067941320141543</v>
      </c>
      <c r="AW38" s="369">
        <v>1.6067941320141543</v>
      </c>
      <c r="AX38" s="369">
        <v>1.6067941320141543</v>
      </c>
      <c r="AY38" s="369">
        <v>1.4601583379340906</v>
      </c>
      <c r="AZ38" s="369">
        <v>1.7118629144524058</v>
      </c>
      <c r="BA38" s="369">
        <v>1.7118629144524058</v>
      </c>
      <c r="BB38" s="369">
        <v>1.7118629144524058</v>
      </c>
      <c r="BC38" s="369">
        <v>1.7118629144524058</v>
      </c>
      <c r="BD38" s="369">
        <v>1.5577971425603023</v>
      </c>
      <c r="BE38" s="369">
        <v>1.480831475725314</v>
      </c>
      <c r="BF38" s="369">
        <v>1.480831475725314</v>
      </c>
      <c r="BG38" s="369">
        <v>1.480831475725314</v>
      </c>
      <c r="BH38" s="369">
        <v>1.480831475725314</v>
      </c>
      <c r="BI38" s="369">
        <v>1.3457838794721642</v>
      </c>
      <c r="BJ38" s="369">
        <v>1.3490661432569897</v>
      </c>
      <c r="BK38" s="369">
        <v>1.3490661432569897</v>
      </c>
      <c r="BL38" s="369">
        <v>0</v>
      </c>
      <c r="BM38" s="369">
        <v>1.3490661432569897</v>
      </c>
      <c r="BN38" s="369">
        <v>1.2285556801861859</v>
      </c>
      <c r="BO38" s="369">
        <v>1.8971072816177372</v>
      </c>
      <c r="BP38" s="369">
        <v>1.8971072816177372</v>
      </c>
      <c r="BQ38" s="369">
        <v>1.8971072816177372</v>
      </c>
      <c r="BR38" s="369">
        <v>1.8971072816177372</v>
      </c>
      <c r="BS38" s="369">
        <v>1.7270614780879103</v>
      </c>
      <c r="BT38" s="369">
        <v>1.9001632537879989</v>
      </c>
      <c r="BU38" s="369">
        <v>1.9001632537879989</v>
      </c>
      <c r="BV38" s="369">
        <v>1.9001632537879989</v>
      </c>
      <c r="BW38" s="369">
        <v>1.9001632537879989</v>
      </c>
      <c r="BX38" s="369">
        <v>1.7292548489289488</v>
      </c>
      <c r="BY38" s="369">
        <v>0</v>
      </c>
      <c r="BZ38" s="369">
        <v>0</v>
      </c>
      <c r="CA38" s="369">
        <v>0</v>
      </c>
      <c r="CB38" s="369">
        <v>0</v>
      </c>
      <c r="CC38" s="369">
        <v>0</v>
      </c>
      <c r="CD38" s="369">
        <v>1.573019651220551</v>
      </c>
      <c r="CE38" s="369">
        <v>1.573019651220551</v>
      </c>
      <c r="CF38" s="369">
        <v>1.573019651220551</v>
      </c>
      <c r="CG38" s="369">
        <v>1.573019651220551</v>
      </c>
      <c r="CH38" s="369">
        <v>1.4310840477254787</v>
      </c>
      <c r="CI38" s="369">
        <v>1.7102415921126253</v>
      </c>
      <c r="CJ38" s="369">
        <v>1.7102415921126253</v>
      </c>
      <c r="CK38" s="369">
        <v>1.7102415921126253</v>
      </c>
      <c r="CL38" s="369">
        <v>1.7102415921126253</v>
      </c>
      <c r="CM38" s="369">
        <v>1.5558899489586915</v>
      </c>
      <c r="CN38" s="369">
        <v>1.7906738586177684</v>
      </c>
      <c r="CO38" s="369">
        <v>1.7906738586177684</v>
      </c>
      <c r="CP38" s="369">
        <v>1.7906738586177684</v>
      </c>
      <c r="CQ38" s="369">
        <v>1.7906738586177684</v>
      </c>
      <c r="CR38" s="369">
        <v>1.629165801973016</v>
      </c>
      <c r="CS38" s="369">
        <v>0</v>
      </c>
      <c r="CT38" s="369">
        <v>0</v>
      </c>
      <c r="CU38" s="369">
        <v>0</v>
      </c>
      <c r="CV38" s="369">
        <v>0</v>
      </c>
      <c r="CW38" s="369">
        <v>0</v>
      </c>
      <c r="CX38" s="369">
        <v>1.5181301254314221</v>
      </c>
      <c r="CY38" s="369">
        <v>1.5181301254314221</v>
      </c>
      <c r="CZ38" s="369">
        <v>1.5181301254314221</v>
      </c>
      <c r="DA38" s="369">
        <v>1.5181301254314221</v>
      </c>
      <c r="DB38" s="369">
        <v>1.3810452045655059</v>
      </c>
      <c r="DC38" s="369">
        <v>1.6067941320141543</v>
      </c>
      <c r="DD38" s="369">
        <v>1.6067941320141543</v>
      </c>
      <c r="DE38" s="369">
        <v>1.6067941320141543</v>
      </c>
      <c r="DF38" s="369">
        <v>1.6067941320141543</v>
      </c>
      <c r="DG38" s="369">
        <v>1.4601583379340906</v>
      </c>
      <c r="DH38" s="369">
        <v>1.7118629144524058</v>
      </c>
      <c r="DI38" s="369">
        <v>1.7118629144524058</v>
      </c>
      <c r="DJ38" s="369">
        <v>1.7118629144524058</v>
      </c>
      <c r="DK38" s="369">
        <v>1.7118629144524058</v>
      </c>
      <c r="DL38" s="369">
        <v>1.5577971425603023</v>
      </c>
      <c r="DM38" s="369">
        <v>1.480831475725314</v>
      </c>
      <c r="DN38" s="369">
        <v>1.480831475725314</v>
      </c>
      <c r="DO38" s="369">
        <v>1.480831475725314</v>
      </c>
      <c r="DP38" s="369">
        <v>1.480831475725314</v>
      </c>
      <c r="DQ38" s="369">
        <v>1.3457838794721642</v>
      </c>
      <c r="DR38" s="369">
        <v>1.3490661432569897</v>
      </c>
      <c r="DS38" s="369">
        <v>1.3490661432569897</v>
      </c>
      <c r="DT38" s="369">
        <v>1.3490661432569897</v>
      </c>
      <c r="DU38" s="369">
        <v>1.3490661432569897</v>
      </c>
      <c r="DV38" s="369">
        <v>1.2285556801861859</v>
      </c>
    </row>
    <row r="39" spans="2:130" x14ac:dyDescent="0.3">
      <c r="B39" s="58"/>
      <c r="C39" s="45"/>
      <c r="D39" s="45"/>
      <c r="E39" s="60" t="s">
        <v>1</v>
      </c>
      <c r="F39" s="268">
        <f t="shared" si="8"/>
        <v>0</v>
      </c>
      <c r="G39" s="369">
        <v>0</v>
      </c>
      <c r="H39" s="369">
        <v>0</v>
      </c>
      <c r="I39" s="369">
        <v>0</v>
      </c>
      <c r="J39" s="369">
        <v>0</v>
      </c>
      <c r="K39" s="369">
        <v>0</v>
      </c>
      <c r="L39" s="369">
        <v>0</v>
      </c>
      <c r="M39" s="369">
        <v>0</v>
      </c>
      <c r="N39" s="369">
        <v>0</v>
      </c>
      <c r="O39" s="369">
        <v>0</v>
      </c>
      <c r="P39" s="369">
        <v>0</v>
      </c>
      <c r="Q39" s="369">
        <v>0</v>
      </c>
      <c r="R39" s="369">
        <v>0</v>
      </c>
      <c r="S39" s="369">
        <v>0</v>
      </c>
      <c r="T39" s="369">
        <v>0</v>
      </c>
      <c r="U39" s="369">
        <v>0</v>
      </c>
      <c r="V39" s="369">
        <v>0</v>
      </c>
      <c r="W39" s="369">
        <v>0</v>
      </c>
      <c r="X39" s="369">
        <v>0</v>
      </c>
      <c r="Y39" s="369">
        <v>0</v>
      </c>
      <c r="Z39" s="369">
        <v>0</v>
      </c>
      <c r="AA39" s="369">
        <v>0</v>
      </c>
      <c r="AB39" s="369">
        <v>0</v>
      </c>
      <c r="AC39" s="369">
        <v>0</v>
      </c>
      <c r="AD39" s="369">
        <v>0</v>
      </c>
      <c r="AE39" s="369">
        <v>0</v>
      </c>
      <c r="AF39" s="369">
        <v>0</v>
      </c>
      <c r="AG39" s="369">
        <v>0</v>
      </c>
      <c r="AH39" s="369">
        <v>0</v>
      </c>
      <c r="AI39" s="369">
        <v>0</v>
      </c>
      <c r="AJ39" s="369">
        <v>0</v>
      </c>
      <c r="AK39" s="369">
        <v>0</v>
      </c>
      <c r="AL39" s="369">
        <v>0</v>
      </c>
      <c r="AM39" s="369">
        <v>0</v>
      </c>
      <c r="AN39" s="369">
        <v>0</v>
      </c>
      <c r="AO39" s="369">
        <v>0</v>
      </c>
      <c r="AP39" s="369">
        <v>0</v>
      </c>
      <c r="AQ39" s="369">
        <v>0</v>
      </c>
      <c r="AR39" s="369">
        <v>0</v>
      </c>
      <c r="AS39" s="369">
        <v>0</v>
      </c>
      <c r="AT39" s="369">
        <v>0</v>
      </c>
      <c r="AU39" s="369">
        <v>0</v>
      </c>
      <c r="AV39" s="369">
        <v>0</v>
      </c>
      <c r="AW39" s="369">
        <v>0</v>
      </c>
      <c r="AX39" s="369">
        <v>0</v>
      </c>
      <c r="AY39" s="369">
        <v>0</v>
      </c>
      <c r="AZ39" s="369">
        <v>0</v>
      </c>
      <c r="BA39" s="369">
        <v>0</v>
      </c>
      <c r="BB39" s="369">
        <v>0</v>
      </c>
      <c r="BC39" s="369">
        <v>0</v>
      </c>
      <c r="BD39" s="369">
        <v>0</v>
      </c>
      <c r="BE39" s="369">
        <v>0</v>
      </c>
      <c r="BF39" s="369">
        <v>0</v>
      </c>
      <c r="BG39" s="369">
        <v>0</v>
      </c>
      <c r="BH39" s="369">
        <v>0</v>
      </c>
      <c r="BI39" s="369">
        <v>0</v>
      </c>
      <c r="BJ39" s="369">
        <v>0</v>
      </c>
      <c r="BK39" s="369">
        <v>0</v>
      </c>
      <c r="BL39" s="369">
        <v>0</v>
      </c>
      <c r="BM39" s="369">
        <v>0</v>
      </c>
      <c r="BN39" s="369">
        <v>0</v>
      </c>
      <c r="BO39" s="369">
        <v>0</v>
      </c>
      <c r="BP39" s="369">
        <v>0</v>
      </c>
      <c r="BQ39" s="369">
        <v>0</v>
      </c>
      <c r="BR39" s="369">
        <v>0</v>
      </c>
      <c r="BS39" s="369">
        <v>0</v>
      </c>
      <c r="BT39" s="369">
        <v>0</v>
      </c>
      <c r="BU39" s="369">
        <v>0</v>
      </c>
      <c r="BV39" s="369">
        <v>0</v>
      </c>
      <c r="BW39" s="369">
        <v>0</v>
      </c>
      <c r="BX39" s="369">
        <v>0</v>
      </c>
      <c r="BY39" s="369">
        <v>0</v>
      </c>
      <c r="BZ39" s="369">
        <v>0</v>
      </c>
      <c r="CA39" s="369">
        <v>0</v>
      </c>
      <c r="CB39" s="369">
        <v>0</v>
      </c>
      <c r="CC39" s="369">
        <v>0</v>
      </c>
      <c r="CD39" s="369">
        <v>0</v>
      </c>
      <c r="CE39" s="369">
        <v>0</v>
      </c>
      <c r="CF39" s="369">
        <v>0</v>
      </c>
      <c r="CG39" s="369">
        <v>0</v>
      </c>
      <c r="CH39" s="369">
        <v>0</v>
      </c>
      <c r="CI39" s="369">
        <v>0</v>
      </c>
      <c r="CJ39" s="369">
        <v>0</v>
      </c>
      <c r="CK39" s="369">
        <v>0</v>
      </c>
      <c r="CL39" s="369">
        <v>0</v>
      </c>
      <c r="CM39" s="369">
        <v>0</v>
      </c>
      <c r="CN39" s="369">
        <v>0</v>
      </c>
      <c r="CO39" s="369">
        <v>0</v>
      </c>
      <c r="CP39" s="369">
        <v>0</v>
      </c>
      <c r="CQ39" s="369">
        <v>0</v>
      </c>
      <c r="CR39" s="369">
        <v>0</v>
      </c>
      <c r="CS39" s="369">
        <v>0</v>
      </c>
      <c r="CT39" s="369">
        <v>0</v>
      </c>
      <c r="CU39" s="369">
        <v>0</v>
      </c>
      <c r="CV39" s="369">
        <v>0</v>
      </c>
      <c r="CW39" s="369">
        <v>0</v>
      </c>
      <c r="CX39" s="369">
        <v>0</v>
      </c>
      <c r="CY39" s="369">
        <v>0</v>
      </c>
      <c r="CZ39" s="369">
        <v>0</v>
      </c>
      <c r="DA39" s="369">
        <v>0</v>
      </c>
      <c r="DB39" s="369">
        <v>0</v>
      </c>
      <c r="DC39" s="369">
        <v>0</v>
      </c>
      <c r="DD39" s="369">
        <v>0</v>
      </c>
      <c r="DE39" s="369">
        <v>0</v>
      </c>
      <c r="DF39" s="369">
        <v>0</v>
      </c>
      <c r="DG39" s="369">
        <v>0</v>
      </c>
      <c r="DH39" s="369">
        <v>0</v>
      </c>
      <c r="DI39" s="369">
        <v>0</v>
      </c>
      <c r="DJ39" s="369">
        <v>0</v>
      </c>
      <c r="DK39" s="369">
        <v>0</v>
      </c>
      <c r="DL39" s="369">
        <v>0</v>
      </c>
      <c r="DM39" s="369">
        <v>0</v>
      </c>
      <c r="DN39" s="369">
        <v>0</v>
      </c>
      <c r="DO39" s="369">
        <v>0</v>
      </c>
      <c r="DP39" s="369">
        <v>0</v>
      </c>
      <c r="DQ39" s="369">
        <v>0</v>
      </c>
      <c r="DR39" s="369">
        <v>0</v>
      </c>
      <c r="DS39" s="369">
        <v>0</v>
      </c>
      <c r="DT39" s="369">
        <v>0</v>
      </c>
      <c r="DU39" s="369">
        <v>0</v>
      </c>
      <c r="DV39" s="369">
        <v>0</v>
      </c>
    </row>
    <row r="40" spans="2:130" x14ac:dyDescent="0.3">
      <c r="B40" s="58"/>
      <c r="C40" s="45"/>
      <c r="D40" s="45"/>
      <c r="E40" s="60" t="s">
        <v>33</v>
      </c>
      <c r="F40" s="268">
        <f t="shared" si="8"/>
        <v>-7.6854421455421793</v>
      </c>
      <c r="G40" s="369">
        <v>-11.045271420642315</v>
      </c>
      <c r="H40" s="369">
        <v>-11.045271420642315</v>
      </c>
      <c r="I40" s="369">
        <v>-11.045271420642315</v>
      </c>
      <c r="J40" s="369">
        <v>-11.045271420642315</v>
      </c>
      <c r="K40" s="369">
        <v>-10.045013121469552</v>
      </c>
      <c r="L40" s="369">
        <v>-10.412363457008915</v>
      </c>
      <c r="M40" s="369">
        <v>-10.412363457008915</v>
      </c>
      <c r="N40" s="369">
        <v>-10.412363457008915</v>
      </c>
      <c r="O40" s="369">
        <v>-10.412363457008915</v>
      </c>
      <c r="P40" s="369">
        <v>-9.4715470178904297</v>
      </c>
      <c r="Q40" s="369">
        <v>0</v>
      </c>
      <c r="R40" s="369">
        <v>0</v>
      </c>
      <c r="S40" s="369">
        <v>0</v>
      </c>
      <c r="T40" s="369">
        <v>0</v>
      </c>
      <c r="U40" s="369">
        <v>0</v>
      </c>
      <c r="V40" s="369">
        <v>-9.8819304823304179</v>
      </c>
      <c r="W40" s="369">
        <v>-9.8819304823304179</v>
      </c>
      <c r="X40" s="369">
        <v>-9.8819304823304179</v>
      </c>
      <c r="Y40" s="369">
        <v>-9.8819304823304179</v>
      </c>
      <c r="Z40" s="369">
        <v>-8.992589086429625</v>
      </c>
      <c r="AA40" s="369">
        <v>-8.762734848720406</v>
      </c>
      <c r="AB40" s="369">
        <v>-8.762734848720406</v>
      </c>
      <c r="AC40" s="369">
        <v>-8.762734848720406</v>
      </c>
      <c r="AD40" s="369">
        <v>-8.762734848720406</v>
      </c>
      <c r="AE40" s="369">
        <v>-7.965055529347616</v>
      </c>
      <c r="AF40" s="369">
        <v>-7.6647395749719109</v>
      </c>
      <c r="AG40" s="369">
        <v>-7.6647395749719109</v>
      </c>
      <c r="AH40" s="369">
        <v>-7.6647395749719109</v>
      </c>
      <c r="AI40" s="369">
        <v>-7.6647395749719109</v>
      </c>
      <c r="AJ40" s="369">
        <v>-6.9729665203959428</v>
      </c>
      <c r="AK40" s="369">
        <v>0</v>
      </c>
      <c r="AL40" s="369">
        <v>0</v>
      </c>
      <c r="AM40" s="369">
        <v>0</v>
      </c>
      <c r="AN40" s="369">
        <v>0</v>
      </c>
      <c r="AO40" s="369">
        <v>0</v>
      </c>
      <c r="AP40" s="369">
        <v>-6.0147257407712971</v>
      </c>
      <c r="AQ40" s="369">
        <v>-6.0147257407712971</v>
      </c>
      <c r="AR40" s="369">
        <v>-6.0147257407712971</v>
      </c>
      <c r="AS40" s="369">
        <v>-6.0147257407712971</v>
      </c>
      <c r="AT40" s="369">
        <v>-5.4610895384426215</v>
      </c>
      <c r="AU40" s="369">
        <v>-5.7582114195110279</v>
      </c>
      <c r="AV40" s="369">
        <v>-5.7582114195110279</v>
      </c>
      <c r="AW40" s="369">
        <v>-5.7582114195110279</v>
      </c>
      <c r="AX40" s="369">
        <v>-5.7582114195110279</v>
      </c>
      <c r="AY40" s="369">
        <v>-5.2485482194500932</v>
      </c>
      <c r="AZ40" s="369">
        <v>-6.017471879049566</v>
      </c>
      <c r="BA40" s="369">
        <v>-6.017471879049566</v>
      </c>
      <c r="BB40" s="369">
        <v>-6.017471879049566</v>
      </c>
      <c r="BC40" s="369">
        <v>-6.017471879049566</v>
      </c>
      <c r="BD40" s="369">
        <v>-5.4830503979422005</v>
      </c>
      <c r="BE40" s="369">
        <v>-5.9185693987738688</v>
      </c>
      <c r="BF40" s="369">
        <v>-5.9185693987738688</v>
      </c>
      <c r="BG40" s="369">
        <v>-5.9185693987738688</v>
      </c>
      <c r="BH40" s="369">
        <v>-5.9185693987738688</v>
      </c>
      <c r="BI40" s="369">
        <v>-5.376429368392337</v>
      </c>
      <c r="BJ40" s="369">
        <v>-5.8563976469975998</v>
      </c>
      <c r="BK40" s="369">
        <v>-5.8563976469975998</v>
      </c>
      <c r="BL40" s="369">
        <v>0</v>
      </c>
      <c r="BM40" s="369">
        <v>-5.8563976469975998</v>
      </c>
      <c r="BN40" s="369">
        <v>-5.3396206028289512</v>
      </c>
      <c r="BO40" s="369">
        <v>-11.045271420642315</v>
      </c>
      <c r="BP40" s="369">
        <v>-11.045271420642315</v>
      </c>
      <c r="BQ40" s="369">
        <v>-11.045271420642315</v>
      </c>
      <c r="BR40" s="369">
        <v>-11.045271420642315</v>
      </c>
      <c r="BS40" s="369">
        <v>-10.045013121469552</v>
      </c>
      <c r="BT40" s="369">
        <v>-10.412363457008915</v>
      </c>
      <c r="BU40" s="369">
        <v>-10.412363457008915</v>
      </c>
      <c r="BV40" s="369">
        <v>-10.412363457008915</v>
      </c>
      <c r="BW40" s="369">
        <v>-10.412363457008915</v>
      </c>
      <c r="BX40" s="369">
        <v>-9.4715470178904297</v>
      </c>
      <c r="BY40" s="369">
        <v>0</v>
      </c>
      <c r="BZ40" s="369">
        <v>0</v>
      </c>
      <c r="CA40" s="369">
        <v>0</v>
      </c>
      <c r="CB40" s="369">
        <v>0</v>
      </c>
      <c r="CC40" s="369">
        <v>0</v>
      </c>
      <c r="CD40" s="369">
        <v>-9.8819304823304179</v>
      </c>
      <c r="CE40" s="369">
        <v>-9.8819304823304179</v>
      </c>
      <c r="CF40" s="369">
        <v>-9.8819304823304179</v>
      </c>
      <c r="CG40" s="369">
        <v>-9.8819304823304179</v>
      </c>
      <c r="CH40" s="369">
        <v>-8.992589086429625</v>
      </c>
      <c r="CI40" s="369">
        <v>-8.762734848720406</v>
      </c>
      <c r="CJ40" s="369">
        <v>-8.762734848720406</v>
      </c>
      <c r="CK40" s="369">
        <v>-8.762734848720406</v>
      </c>
      <c r="CL40" s="369">
        <v>-8.762734848720406</v>
      </c>
      <c r="CM40" s="369">
        <v>-7.965055529347616</v>
      </c>
      <c r="CN40" s="369">
        <v>-7.6647395749719109</v>
      </c>
      <c r="CO40" s="369">
        <v>-7.6647395749719109</v>
      </c>
      <c r="CP40" s="369">
        <v>-7.6647395749719109</v>
      </c>
      <c r="CQ40" s="369">
        <v>-7.6647395749719109</v>
      </c>
      <c r="CR40" s="369">
        <v>-6.9729665203959428</v>
      </c>
      <c r="CS40" s="369">
        <v>0</v>
      </c>
      <c r="CT40" s="369">
        <v>0</v>
      </c>
      <c r="CU40" s="369">
        <v>0</v>
      </c>
      <c r="CV40" s="369">
        <v>0</v>
      </c>
      <c r="CW40" s="369">
        <v>0</v>
      </c>
      <c r="CX40" s="369">
        <v>-6.0147257407712971</v>
      </c>
      <c r="CY40" s="369">
        <v>-6.0147257407712971</v>
      </c>
      <c r="CZ40" s="369">
        <v>-6.0147257407712971</v>
      </c>
      <c r="DA40" s="369">
        <v>-6.0147257407712971</v>
      </c>
      <c r="DB40" s="369">
        <v>-5.4610895384426215</v>
      </c>
      <c r="DC40" s="369">
        <v>-5.7582114195110279</v>
      </c>
      <c r="DD40" s="369">
        <v>-5.7582114195110279</v>
      </c>
      <c r="DE40" s="369">
        <v>-5.7582114195110279</v>
      </c>
      <c r="DF40" s="369">
        <v>-5.7582114195110279</v>
      </c>
      <c r="DG40" s="369">
        <v>-5.2485482194500932</v>
      </c>
      <c r="DH40" s="369">
        <v>-6.017471879049566</v>
      </c>
      <c r="DI40" s="369">
        <v>-6.017471879049566</v>
      </c>
      <c r="DJ40" s="369">
        <v>-6.017471879049566</v>
      </c>
      <c r="DK40" s="369">
        <v>-6.017471879049566</v>
      </c>
      <c r="DL40" s="369">
        <v>-5.4830503979422005</v>
      </c>
      <c r="DM40" s="369">
        <v>-5.9185693987738688</v>
      </c>
      <c r="DN40" s="369">
        <v>-5.9185693987738688</v>
      </c>
      <c r="DO40" s="369">
        <v>-5.9185693987738688</v>
      </c>
      <c r="DP40" s="369">
        <v>-5.9185693987738688</v>
      </c>
      <c r="DQ40" s="369">
        <v>-5.376429368392337</v>
      </c>
      <c r="DR40" s="369">
        <v>-5.8563976469975998</v>
      </c>
      <c r="DS40" s="369">
        <v>-5.8563976469975998</v>
      </c>
      <c r="DT40" s="369">
        <v>-5.8563976469975998</v>
      </c>
      <c r="DU40" s="369">
        <v>-5.8563976469975998</v>
      </c>
      <c r="DV40" s="369">
        <v>-5.3396206028289512</v>
      </c>
    </row>
    <row r="41" spans="2:130" x14ac:dyDescent="0.3">
      <c r="B41" s="58"/>
      <c r="C41" s="45"/>
      <c r="D41" s="45"/>
      <c r="E41" s="60" t="s">
        <v>103</v>
      </c>
      <c r="F41" s="268">
        <f t="shared" si="8"/>
        <v>8.9756654723364182</v>
      </c>
      <c r="G41" s="369">
        <v>10.904416865029809</v>
      </c>
      <c r="H41" s="369">
        <v>10.904416865029809</v>
      </c>
      <c r="I41" s="369">
        <v>10.904416865029809</v>
      </c>
      <c r="J41" s="369">
        <v>10.904416865029809</v>
      </c>
      <c r="K41" s="369">
        <v>9.9241489234539308</v>
      </c>
      <c r="L41" s="369">
        <v>10.740039466890583</v>
      </c>
      <c r="M41" s="369">
        <v>10.740039466890583</v>
      </c>
      <c r="N41" s="369">
        <v>10.740039466890583</v>
      </c>
      <c r="O41" s="369">
        <v>10.740039466890583</v>
      </c>
      <c r="P41" s="369">
        <v>9.7728382164183536</v>
      </c>
      <c r="Q41" s="369">
        <v>0</v>
      </c>
      <c r="R41" s="369">
        <v>0</v>
      </c>
      <c r="S41" s="369">
        <v>0</v>
      </c>
      <c r="T41" s="369">
        <v>0</v>
      </c>
      <c r="U41" s="369">
        <v>0</v>
      </c>
      <c r="V41" s="369">
        <v>9.2439004028686398</v>
      </c>
      <c r="W41" s="369">
        <v>9.2439004028686398</v>
      </c>
      <c r="X41" s="369">
        <v>9.2439004028686398</v>
      </c>
      <c r="Y41" s="369">
        <v>9.2439004028686398</v>
      </c>
      <c r="Z41" s="369">
        <v>8.4104594198212279</v>
      </c>
      <c r="AA41" s="369">
        <v>9.4963124541461603</v>
      </c>
      <c r="AB41" s="369">
        <v>9.4963124541461603</v>
      </c>
      <c r="AC41" s="369">
        <v>9.4963124541461603</v>
      </c>
      <c r="AD41" s="369">
        <v>9.4963124541461603</v>
      </c>
      <c r="AE41" s="369">
        <v>8.6373473795669007</v>
      </c>
      <c r="AF41" s="369">
        <v>9.5206801811723167</v>
      </c>
      <c r="AG41" s="369">
        <v>9.5206801811723167</v>
      </c>
      <c r="AH41" s="369">
        <v>9.5206801811723167</v>
      </c>
      <c r="AI41" s="369">
        <v>9.5206801811723167</v>
      </c>
      <c r="AJ41" s="369">
        <v>8.661843385601502</v>
      </c>
      <c r="AK41" s="369">
        <v>0</v>
      </c>
      <c r="AL41" s="369">
        <v>0</v>
      </c>
      <c r="AM41" s="369">
        <v>0</v>
      </c>
      <c r="AN41" s="369">
        <v>0</v>
      </c>
      <c r="AO41" s="369">
        <v>0</v>
      </c>
      <c r="AP41" s="369">
        <v>7.9364443878772928</v>
      </c>
      <c r="AQ41" s="369">
        <v>7.9364443878772928</v>
      </c>
      <c r="AR41" s="369">
        <v>7.9364443878772928</v>
      </c>
      <c r="AS41" s="369">
        <v>7.9364443878772928</v>
      </c>
      <c r="AT41" s="369">
        <v>7.2168549225365801</v>
      </c>
      <c r="AU41" s="369">
        <v>8.2300139033196835</v>
      </c>
      <c r="AV41" s="369">
        <v>8.2300139033196835</v>
      </c>
      <c r="AW41" s="369">
        <v>8.2300139033196835</v>
      </c>
      <c r="AX41" s="369">
        <v>8.2300139033196835</v>
      </c>
      <c r="AY41" s="369">
        <v>7.483370384796638</v>
      </c>
      <c r="AZ41" s="369">
        <v>8.7353869499666867</v>
      </c>
      <c r="BA41" s="369">
        <v>8.7353869499666867</v>
      </c>
      <c r="BB41" s="369">
        <v>8.7353869499666867</v>
      </c>
      <c r="BC41" s="369">
        <v>8.7353869499666867</v>
      </c>
      <c r="BD41" s="369">
        <v>7.9512094067536534</v>
      </c>
      <c r="BE41" s="369">
        <v>7.7558884374811008</v>
      </c>
      <c r="BF41" s="369">
        <v>7.7558884374811008</v>
      </c>
      <c r="BG41" s="369">
        <v>7.7558884374811008</v>
      </c>
      <c r="BH41" s="369">
        <v>7.7558884374811008</v>
      </c>
      <c r="BI41" s="369">
        <v>7.0479071579205694</v>
      </c>
      <c r="BJ41" s="369">
        <v>7.1956343494332753</v>
      </c>
      <c r="BK41" s="369">
        <v>7.1956343494332753</v>
      </c>
      <c r="BL41" s="369">
        <v>0</v>
      </c>
      <c r="BM41" s="369">
        <v>7.1956343494332753</v>
      </c>
      <c r="BN41" s="369">
        <v>6.554637496179117</v>
      </c>
      <c r="BO41" s="369">
        <v>10.904416865029809</v>
      </c>
      <c r="BP41" s="369">
        <v>10.904416865029809</v>
      </c>
      <c r="BQ41" s="369">
        <v>10.904416865029809</v>
      </c>
      <c r="BR41" s="369">
        <v>10.904416865029809</v>
      </c>
      <c r="BS41" s="369">
        <v>9.9241489234539308</v>
      </c>
      <c r="BT41" s="369">
        <v>10.740039466890583</v>
      </c>
      <c r="BU41" s="369">
        <v>10.740039466890583</v>
      </c>
      <c r="BV41" s="369">
        <v>10.740039466890583</v>
      </c>
      <c r="BW41" s="369">
        <v>10.740039466890583</v>
      </c>
      <c r="BX41" s="369">
        <v>9.7728382164183536</v>
      </c>
      <c r="BY41" s="369">
        <v>0</v>
      </c>
      <c r="BZ41" s="369">
        <v>0</v>
      </c>
      <c r="CA41" s="369">
        <v>0</v>
      </c>
      <c r="CB41" s="369">
        <v>0</v>
      </c>
      <c r="CC41" s="369">
        <v>0</v>
      </c>
      <c r="CD41" s="369">
        <v>9.2439004028686398</v>
      </c>
      <c r="CE41" s="369">
        <v>9.2439004028686398</v>
      </c>
      <c r="CF41" s="369">
        <v>9.2439004028686398</v>
      </c>
      <c r="CG41" s="369">
        <v>9.2439004028686398</v>
      </c>
      <c r="CH41" s="369">
        <v>8.4104594198212279</v>
      </c>
      <c r="CI41" s="369">
        <v>9.4963124541461603</v>
      </c>
      <c r="CJ41" s="369">
        <v>9.4963124541461603</v>
      </c>
      <c r="CK41" s="369">
        <v>9.4963124541461603</v>
      </c>
      <c r="CL41" s="369">
        <v>9.4963124541461603</v>
      </c>
      <c r="CM41" s="369">
        <v>8.6373473795669007</v>
      </c>
      <c r="CN41" s="369">
        <v>9.5206801811723167</v>
      </c>
      <c r="CO41" s="369">
        <v>9.5206801811723167</v>
      </c>
      <c r="CP41" s="369">
        <v>9.5206801811723167</v>
      </c>
      <c r="CQ41" s="369">
        <v>9.5206801811723167</v>
      </c>
      <c r="CR41" s="369">
        <v>8.661843385601502</v>
      </c>
      <c r="CS41" s="369">
        <v>0</v>
      </c>
      <c r="CT41" s="369">
        <v>0</v>
      </c>
      <c r="CU41" s="369">
        <v>0</v>
      </c>
      <c r="CV41" s="369">
        <v>0</v>
      </c>
      <c r="CW41" s="369">
        <v>0</v>
      </c>
      <c r="CX41" s="369">
        <v>7.9364443878772928</v>
      </c>
      <c r="CY41" s="369">
        <v>7.9364443878772928</v>
      </c>
      <c r="CZ41" s="369">
        <v>7.9364443878772928</v>
      </c>
      <c r="DA41" s="369">
        <v>7.9364443878772928</v>
      </c>
      <c r="DB41" s="369">
        <v>7.2168549225365801</v>
      </c>
      <c r="DC41" s="369">
        <v>8.2300139033196835</v>
      </c>
      <c r="DD41" s="369">
        <v>8.2300139033196835</v>
      </c>
      <c r="DE41" s="369">
        <v>8.2300139033196835</v>
      </c>
      <c r="DF41" s="369">
        <v>8.2300139033196835</v>
      </c>
      <c r="DG41" s="369">
        <v>7.483370384796638</v>
      </c>
      <c r="DH41" s="369">
        <v>8.7353869499666867</v>
      </c>
      <c r="DI41" s="369">
        <v>8.7353869499666867</v>
      </c>
      <c r="DJ41" s="369">
        <v>8.7353869499666867</v>
      </c>
      <c r="DK41" s="369">
        <v>8.7353869499666867</v>
      </c>
      <c r="DL41" s="369">
        <v>7.9512094067536534</v>
      </c>
      <c r="DM41" s="369">
        <v>7.7558884374811008</v>
      </c>
      <c r="DN41" s="369">
        <v>7.7558884374811008</v>
      </c>
      <c r="DO41" s="369">
        <v>7.7558884374811008</v>
      </c>
      <c r="DP41" s="369">
        <v>7.7558884374811008</v>
      </c>
      <c r="DQ41" s="369">
        <v>7.0479071579205694</v>
      </c>
      <c r="DR41" s="369">
        <v>7.1956343494332753</v>
      </c>
      <c r="DS41" s="369">
        <v>7.1956343494332753</v>
      </c>
      <c r="DT41" s="369">
        <v>7.1956343494332753</v>
      </c>
      <c r="DU41" s="369">
        <v>7.1956343494332753</v>
      </c>
      <c r="DV41" s="369">
        <v>6.554637496179117</v>
      </c>
    </row>
    <row r="42" spans="2:130" x14ac:dyDescent="0.3">
      <c r="B42" s="58"/>
      <c r="C42" s="45"/>
      <c r="D42" s="45"/>
      <c r="E42" s="60" t="s">
        <v>34</v>
      </c>
      <c r="F42" s="268">
        <f t="shared" si="8"/>
        <v>21.878904734419937</v>
      </c>
      <c r="G42" s="369">
        <v>27.48775109846088</v>
      </c>
      <c r="H42" s="369">
        <v>27.48775109846088</v>
      </c>
      <c r="I42" s="369">
        <v>27.48775109846088</v>
      </c>
      <c r="J42" s="369">
        <v>27.48775109846088</v>
      </c>
      <c r="K42" s="369">
        <v>25.012808719725221</v>
      </c>
      <c r="L42" s="369">
        <v>26.825663140325691</v>
      </c>
      <c r="M42" s="369">
        <v>26.825663140325691</v>
      </c>
      <c r="N42" s="369">
        <v>26.825663140325691</v>
      </c>
      <c r="O42" s="369">
        <v>26.825663140325691</v>
      </c>
      <c r="P42" s="369">
        <v>24.408201153203947</v>
      </c>
      <c r="Q42" s="369">
        <v>0</v>
      </c>
      <c r="R42" s="369">
        <v>0</v>
      </c>
      <c r="S42" s="369">
        <v>0</v>
      </c>
      <c r="T42" s="369">
        <v>0</v>
      </c>
      <c r="U42" s="369">
        <v>0</v>
      </c>
      <c r="V42" s="369">
        <v>23.57739856661825</v>
      </c>
      <c r="W42" s="369">
        <v>23.57739856661825</v>
      </c>
      <c r="X42" s="369">
        <v>23.57739856661825</v>
      </c>
      <c r="Y42" s="369">
        <v>23.57739856661825</v>
      </c>
      <c r="Z42" s="369">
        <v>21.452495623546792</v>
      </c>
      <c r="AA42" s="369">
        <v>23.483430764211583</v>
      </c>
      <c r="AB42" s="369">
        <v>23.483430764211583</v>
      </c>
      <c r="AC42" s="369">
        <v>23.483430764211583</v>
      </c>
      <c r="AD42" s="369">
        <v>23.483430764211583</v>
      </c>
      <c r="AE42" s="369">
        <v>21.356604160941139</v>
      </c>
      <c r="AF42" s="369">
        <v>22.948559059295278</v>
      </c>
      <c r="AG42" s="369">
        <v>22.948559059295278</v>
      </c>
      <c r="AH42" s="369">
        <v>22.948559059295278</v>
      </c>
      <c r="AI42" s="369">
        <v>22.948559059295278</v>
      </c>
      <c r="AJ42" s="369">
        <v>20.878237725434904</v>
      </c>
      <c r="AK42" s="369">
        <v>0</v>
      </c>
      <c r="AL42" s="369">
        <v>0</v>
      </c>
      <c r="AM42" s="369">
        <v>0</v>
      </c>
      <c r="AN42" s="369">
        <v>0</v>
      </c>
      <c r="AO42" s="369">
        <v>0</v>
      </c>
      <c r="AP42" s="369">
        <v>18.930964327807761</v>
      </c>
      <c r="AQ42" s="369">
        <v>18.930964327807761</v>
      </c>
      <c r="AR42" s="369">
        <v>18.930964327807761</v>
      </c>
      <c r="AS42" s="369">
        <v>18.930964327807761</v>
      </c>
      <c r="AT42" s="369">
        <v>17.210111179925292</v>
      </c>
      <c r="AU42" s="369">
        <v>19.376806631442019</v>
      </c>
      <c r="AV42" s="369">
        <v>19.376806631442019</v>
      </c>
      <c r="AW42" s="369">
        <v>19.376806631442019</v>
      </c>
      <c r="AX42" s="369">
        <v>19.376806631442019</v>
      </c>
      <c r="AY42" s="369">
        <v>17.625666714842254</v>
      </c>
      <c r="AZ42" s="369">
        <v>20.516559033293216</v>
      </c>
      <c r="BA42" s="369">
        <v>20.516559033293216</v>
      </c>
      <c r="BB42" s="369">
        <v>20.516559033293216</v>
      </c>
      <c r="BC42" s="369">
        <v>20.516559033293216</v>
      </c>
      <c r="BD42" s="369">
        <v>18.677846908238461</v>
      </c>
      <c r="BE42" s="369">
        <v>18.521887256247311</v>
      </c>
      <c r="BF42" s="369">
        <v>18.521887256247311</v>
      </c>
      <c r="BG42" s="369">
        <v>18.521887256247311</v>
      </c>
      <c r="BH42" s="369">
        <v>18.521887256247311</v>
      </c>
      <c r="BI42" s="369">
        <v>16.830156776870243</v>
      </c>
      <c r="BJ42" s="369">
        <v>17.377998665067281</v>
      </c>
      <c r="BK42" s="369">
        <v>17.377998665067281</v>
      </c>
      <c r="BL42" s="369">
        <v>0</v>
      </c>
      <c r="BM42" s="369">
        <v>17.377998665067281</v>
      </c>
      <c r="BN42" s="369">
        <v>15.832555567878055</v>
      </c>
      <c r="BO42" s="369">
        <v>27.48775109846088</v>
      </c>
      <c r="BP42" s="369">
        <v>27.48775109846088</v>
      </c>
      <c r="BQ42" s="369">
        <v>27.48775109846088</v>
      </c>
      <c r="BR42" s="369">
        <v>27.48775109846088</v>
      </c>
      <c r="BS42" s="369">
        <v>25.012808719725221</v>
      </c>
      <c r="BT42" s="369">
        <v>26.825663140325691</v>
      </c>
      <c r="BU42" s="369">
        <v>26.825663140325691</v>
      </c>
      <c r="BV42" s="369">
        <v>26.825663140325691</v>
      </c>
      <c r="BW42" s="369">
        <v>26.825663140325691</v>
      </c>
      <c r="BX42" s="369">
        <v>24.408201153203947</v>
      </c>
      <c r="BY42" s="369">
        <v>0</v>
      </c>
      <c r="BZ42" s="369">
        <v>0</v>
      </c>
      <c r="CA42" s="369">
        <v>0</v>
      </c>
      <c r="CB42" s="369">
        <v>0</v>
      </c>
      <c r="CC42" s="369">
        <v>0</v>
      </c>
      <c r="CD42" s="369">
        <v>23.57739856661825</v>
      </c>
      <c r="CE42" s="369">
        <v>23.57739856661825</v>
      </c>
      <c r="CF42" s="369">
        <v>23.57739856661825</v>
      </c>
      <c r="CG42" s="369">
        <v>23.57739856661825</v>
      </c>
      <c r="CH42" s="369">
        <v>21.452495623546792</v>
      </c>
      <c r="CI42" s="369">
        <v>23.483430764211583</v>
      </c>
      <c r="CJ42" s="369">
        <v>23.483430764211583</v>
      </c>
      <c r="CK42" s="369">
        <v>23.483430764211583</v>
      </c>
      <c r="CL42" s="369">
        <v>23.483430764211583</v>
      </c>
      <c r="CM42" s="369">
        <v>21.356604160941139</v>
      </c>
      <c r="CN42" s="369">
        <v>22.948559059295278</v>
      </c>
      <c r="CO42" s="369">
        <v>22.948559059295278</v>
      </c>
      <c r="CP42" s="369">
        <v>22.948559059295278</v>
      </c>
      <c r="CQ42" s="369">
        <v>22.948559059295278</v>
      </c>
      <c r="CR42" s="369">
        <v>20.878237725434904</v>
      </c>
      <c r="CS42" s="369">
        <v>0</v>
      </c>
      <c r="CT42" s="369">
        <v>0</v>
      </c>
      <c r="CU42" s="369">
        <v>0</v>
      </c>
      <c r="CV42" s="369">
        <v>0</v>
      </c>
      <c r="CW42" s="369">
        <v>0</v>
      </c>
      <c r="CX42" s="369">
        <v>18.930964327807761</v>
      </c>
      <c r="CY42" s="369">
        <v>18.930964327807761</v>
      </c>
      <c r="CZ42" s="369">
        <v>18.930964327807761</v>
      </c>
      <c r="DA42" s="369">
        <v>18.930964327807761</v>
      </c>
      <c r="DB42" s="369">
        <v>17.210111179925292</v>
      </c>
      <c r="DC42" s="369">
        <v>19.376806631442019</v>
      </c>
      <c r="DD42" s="369">
        <v>19.376806631442019</v>
      </c>
      <c r="DE42" s="369">
        <v>19.376806631442019</v>
      </c>
      <c r="DF42" s="369">
        <v>19.376806631442019</v>
      </c>
      <c r="DG42" s="369">
        <v>17.625666714842254</v>
      </c>
      <c r="DH42" s="369">
        <v>20.516559033293216</v>
      </c>
      <c r="DI42" s="369">
        <v>20.516559033293216</v>
      </c>
      <c r="DJ42" s="369">
        <v>20.516559033293216</v>
      </c>
      <c r="DK42" s="369">
        <v>20.516559033293216</v>
      </c>
      <c r="DL42" s="369">
        <v>18.677846908238461</v>
      </c>
      <c r="DM42" s="369">
        <v>18.521887256247311</v>
      </c>
      <c r="DN42" s="369">
        <v>18.521887256247311</v>
      </c>
      <c r="DO42" s="369">
        <v>18.521887256247311</v>
      </c>
      <c r="DP42" s="369">
        <v>18.521887256247311</v>
      </c>
      <c r="DQ42" s="369">
        <v>16.830156776870243</v>
      </c>
      <c r="DR42" s="369">
        <v>17.377998665067281</v>
      </c>
      <c r="DS42" s="369">
        <v>17.377998665067281</v>
      </c>
      <c r="DT42" s="369">
        <v>17.377998665067281</v>
      </c>
      <c r="DU42" s="369">
        <v>17.377998665067281</v>
      </c>
      <c r="DV42" s="369">
        <v>15.832555567878055</v>
      </c>
      <c r="DX42" s="211"/>
      <c r="DY42" s="211"/>
    </row>
    <row r="43" spans="2:130" x14ac:dyDescent="0.3">
      <c r="B43" s="45"/>
      <c r="C43" s="45"/>
      <c r="D43" s="45"/>
      <c r="E43" s="46" t="s">
        <v>43</v>
      </c>
      <c r="F43" s="268">
        <f t="shared" si="8"/>
        <v>92.847367277304699</v>
      </c>
      <c r="G43" s="268">
        <f t="shared" ref="G43:AL43" si="9">SUM(G34:G42)</f>
        <v>107.12266737386693</v>
      </c>
      <c r="H43" s="268">
        <f t="shared" si="9"/>
        <v>107.12266737386693</v>
      </c>
      <c r="I43" s="268">
        <f t="shared" si="9"/>
        <v>107.12266737386693</v>
      </c>
      <c r="J43" s="268">
        <f t="shared" si="9"/>
        <v>107.12266737386693</v>
      </c>
      <c r="K43" s="268">
        <f t="shared" si="9"/>
        <v>97.517073328095762</v>
      </c>
      <c r="L43" s="268">
        <f t="shared" si="9"/>
        <v>107.05761749257384</v>
      </c>
      <c r="M43" s="268">
        <f t="shared" si="9"/>
        <v>107.05761749257384</v>
      </c>
      <c r="N43" s="268">
        <f t="shared" si="9"/>
        <v>107.05761749257384</v>
      </c>
      <c r="O43" s="268">
        <f t="shared" si="9"/>
        <v>107.05761749257384</v>
      </c>
      <c r="P43" s="268">
        <f t="shared" si="9"/>
        <v>97.426855187926265</v>
      </c>
      <c r="Q43" s="268">
        <f t="shared" si="9"/>
        <v>0</v>
      </c>
      <c r="R43" s="268">
        <f t="shared" si="9"/>
        <v>0</v>
      </c>
      <c r="S43" s="268">
        <f t="shared" si="9"/>
        <v>0</v>
      </c>
      <c r="T43" s="268">
        <f t="shared" si="9"/>
        <v>0</v>
      </c>
      <c r="U43" s="268">
        <f t="shared" si="9"/>
        <v>0</v>
      </c>
      <c r="V43" s="268">
        <f t="shared" si="9"/>
        <v>89.086842815255721</v>
      </c>
      <c r="W43" s="268">
        <f t="shared" si="9"/>
        <v>89.086842815255721</v>
      </c>
      <c r="X43" s="268">
        <f t="shared" si="9"/>
        <v>89.086842815255721</v>
      </c>
      <c r="Y43" s="268">
        <f t="shared" si="9"/>
        <v>89.086842815255721</v>
      </c>
      <c r="Z43" s="268">
        <f t="shared" si="9"/>
        <v>81.049267876454806</v>
      </c>
      <c r="AA43" s="268">
        <f t="shared" si="9"/>
        <v>96.134839606734772</v>
      </c>
      <c r="AB43" s="268">
        <f t="shared" si="9"/>
        <v>96.134839606734772</v>
      </c>
      <c r="AC43" s="268">
        <f t="shared" si="9"/>
        <v>96.134839606734772</v>
      </c>
      <c r="AD43" s="268">
        <f t="shared" si="9"/>
        <v>96.134839606734772</v>
      </c>
      <c r="AE43" s="268">
        <f t="shared" si="9"/>
        <v>87.456044601602713</v>
      </c>
      <c r="AF43" s="268">
        <f t="shared" si="9"/>
        <v>100.1046098713724</v>
      </c>
      <c r="AG43" s="268">
        <f t="shared" si="9"/>
        <v>100.1046098713724</v>
      </c>
      <c r="AH43" s="268">
        <f t="shared" si="9"/>
        <v>100.1046098713724</v>
      </c>
      <c r="AI43" s="268">
        <f t="shared" si="9"/>
        <v>100.1046098713724</v>
      </c>
      <c r="AJ43" s="268">
        <f t="shared" si="9"/>
        <v>91.075605872748213</v>
      </c>
      <c r="AK43" s="268">
        <f t="shared" si="9"/>
        <v>0</v>
      </c>
      <c r="AL43" s="268">
        <f t="shared" si="9"/>
        <v>0</v>
      </c>
      <c r="AM43" s="268">
        <f t="shared" ref="AM43:BR43" si="10">SUM(AM34:AM42)</f>
        <v>0</v>
      </c>
      <c r="AN43" s="268">
        <f t="shared" si="10"/>
        <v>0</v>
      </c>
      <c r="AO43" s="268">
        <f t="shared" si="10"/>
        <v>0</v>
      </c>
      <c r="AP43" s="268">
        <f t="shared" si="10"/>
        <v>84.691983024833632</v>
      </c>
      <c r="AQ43" s="268">
        <f t="shared" si="10"/>
        <v>84.691983024833632</v>
      </c>
      <c r="AR43" s="268">
        <f t="shared" si="10"/>
        <v>84.691983024833632</v>
      </c>
      <c r="AS43" s="268">
        <f t="shared" si="10"/>
        <v>84.691983024833632</v>
      </c>
      <c r="AT43" s="268">
        <f t="shared" si="10"/>
        <v>77.040581571078903</v>
      </c>
      <c r="AU43" s="268">
        <f t="shared" si="10"/>
        <v>89.416343259879397</v>
      </c>
      <c r="AV43" s="268">
        <f t="shared" si="10"/>
        <v>89.416343259879397</v>
      </c>
      <c r="AW43" s="268">
        <f t="shared" si="10"/>
        <v>89.416343259879397</v>
      </c>
      <c r="AX43" s="268">
        <f t="shared" si="10"/>
        <v>89.416343259879397</v>
      </c>
      <c r="AY43" s="268">
        <f t="shared" si="10"/>
        <v>81.26200163211891</v>
      </c>
      <c r="AZ43" s="268">
        <f t="shared" si="10"/>
        <v>95.220484005042209</v>
      </c>
      <c r="BA43" s="268">
        <f t="shared" si="10"/>
        <v>95.220484005042209</v>
      </c>
      <c r="BB43" s="268">
        <f t="shared" si="10"/>
        <v>95.220484005042209</v>
      </c>
      <c r="BC43" s="268">
        <f t="shared" si="10"/>
        <v>95.220484005042209</v>
      </c>
      <c r="BD43" s="268">
        <f t="shared" si="10"/>
        <v>86.65335442089021</v>
      </c>
      <c r="BE43" s="268">
        <f t="shared" si="10"/>
        <v>82.630050749298633</v>
      </c>
      <c r="BF43" s="268">
        <f t="shared" si="10"/>
        <v>82.630050749298633</v>
      </c>
      <c r="BG43" s="268">
        <f t="shared" si="10"/>
        <v>82.630050749298633</v>
      </c>
      <c r="BH43" s="268">
        <f t="shared" si="10"/>
        <v>82.630050749298633</v>
      </c>
      <c r="BI43" s="268">
        <f t="shared" si="10"/>
        <v>75.093556065587293</v>
      </c>
      <c r="BJ43" s="268">
        <f t="shared" si="10"/>
        <v>75.447180227859789</v>
      </c>
      <c r="BK43" s="268">
        <f t="shared" si="10"/>
        <v>75.447180227859789</v>
      </c>
      <c r="BL43" s="268">
        <f t="shared" si="10"/>
        <v>0</v>
      </c>
      <c r="BM43" s="268">
        <f t="shared" si="10"/>
        <v>75.447180227859789</v>
      </c>
      <c r="BN43" s="268">
        <f t="shared" si="10"/>
        <v>68.709899281303052</v>
      </c>
      <c r="BO43" s="268">
        <f t="shared" si="10"/>
        <v>107.12266737386693</v>
      </c>
      <c r="BP43" s="268">
        <f t="shared" si="10"/>
        <v>107.12266737386693</v>
      </c>
      <c r="BQ43" s="268">
        <f t="shared" si="10"/>
        <v>107.12266737386693</v>
      </c>
      <c r="BR43" s="268">
        <f t="shared" si="10"/>
        <v>107.12266737386693</v>
      </c>
      <c r="BS43" s="268">
        <f t="shared" ref="BS43:CX43" si="11">SUM(BS34:BS42)</f>
        <v>97.517073328095762</v>
      </c>
      <c r="BT43" s="268">
        <f t="shared" si="11"/>
        <v>107.05761749257384</v>
      </c>
      <c r="BU43" s="268">
        <f t="shared" si="11"/>
        <v>107.05761749257384</v>
      </c>
      <c r="BV43" s="268">
        <f t="shared" si="11"/>
        <v>107.05761749257384</v>
      </c>
      <c r="BW43" s="268">
        <f t="shared" si="11"/>
        <v>107.05761749257384</v>
      </c>
      <c r="BX43" s="268">
        <f t="shared" si="11"/>
        <v>97.426855187926265</v>
      </c>
      <c r="BY43" s="268">
        <f t="shared" si="11"/>
        <v>0</v>
      </c>
      <c r="BZ43" s="268">
        <f t="shared" si="11"/>
        <v>0</v>
      </c>
      <c r="CA43" s="268">
        <f t="shared" si="11"/>
        <v>0</v>
      </c>
      <c r="CB43" s="268">
        <f t="shared" si="11"/>
        <v>0</v>
      </c>
      <c r="CC43" s="268">
        <f t="shared" si="11"/>
        <v>0</v>
      </c>
      <c r="CD43" s="268">
        <f t="shared" si="11"/>
        <v>89.086842815255721</v>
      </c>
      <c r="CE43" s="268">
        <f t="shared" si="11"/>
        <v>89.086842815255721</v>
      </c>
      <c r="CF43" s="268">
        <f t="shared" si="11"/>
        <v>89.086842815255721</v>
      </c>
      <c r="CG43" s="268">
        <f t="shared" si="11"/>
        <v>89.086842815255721</v>
      </c>
      <c r="CH43" s="268">
        <f t="shared" si="11"/>
        <v>81.049267876454806</v>
      </c>
      <c r="CI43" s="268">
        <f t="shared" si="11"/>
        <v>96.134839606734772</v>
      </c>
      <c r="CJ43" s="268">
        <f t="shared" si="11"/>
        <v>96.134839606734772</v>
      </c>
      <c r="CK43" s="268">
        <f t="shared" si="11"/>
        <v>96.134839606734772</v>
      </c>
      <c r="CL43" s="268">
        <f t="shared" si="11"/>
        <v>96.134839606734772</v>
      </c>
      <c r="CM43" s="268">
        <f t="shared" si="11"/>
        <v>87.456044601602713</v>
      </c>
      <c r="CN43" s="268">
        <f t="shared" si="11"/>
        <v>100.1046098713724</v>
      </c>
      <c r="CO43" s="268">
        <f t="shared" si="11"/>
        <v>100.1046098713724</v>
      </c>
      <c r="CP43" s="268">
        <f t="shared" si="11"/>
        <v>100.1046098713724</v>
      </c>
      <c r="CQ43" s="268">
        <f t="shared" si="11"/>
        <v>100.1046098713724</v>
      </c>
      <c r="CR43" s="268">
        <f t="shared" si="11"/>
        <v>91.075605872748213</v>
      </c>
      <c r="CS43" s="268">
        <f t="shared" si="11"/>
        <v>0</v>
      </c>
      <c r="CT43" s="268">
        <f t="shared" si="11"/>
        <v>0</v>
      </c>
      <c r="CU43" s="268">
        <f t="shared" si="11"/>
        <v>0</v>
      </c>
      <c r="CV43" s="268">
        <f t="shared" si="11"/>
        <v>0</v>
      </c>
      <c r="CW43" s="268">
        <f t="shared" si="11"/>
        <v>0</v>
      </c>
      <c r="CX43" s="268">
        <f t="shared" si="11"/>
        <v>84.691983024833632</v>
      </c>
      <c r="CY43" s="268">
        <f t="shared" ref="CY43:DV43" si="12">SUM(CY34:CY42)</f>
        <v>84.691983024833632</v>
      </c>
      <c r="CZ43" s="268">
        <f t="shared" si="12"/>
        <v>84.691983024833632</v>
      </c>
      <c r="DA43" s="268">
        <f t="shared" si="12"/>
        <v>84.691983024833632</v>
      </c>
      <c r="DB43" s="268">
        <f t="shared" si="12"/>
        <v>77.040581571078903</v>
      </c>
      <c r="DC43" s="268">
        <f t="shared" si="12"/>
        <v>89.416343259879397</v>
      </c>
      <c r="DD43" s="268">
        <f t="shared" si="12"/>
        <v>89.416343259879397</v>
      </c>
      <c r="DE43" s="268">
        <f t="shared" si="12"/>
        <v>89.416343259879397</v>
      </c>
      <c r="DF43" s="268">
        <f t="shared" si="12"/>
        <v>89.416343259879397</v>
      </c>
      <c r="DG43" s="268">
        <f t="shared" si="12"/>
        <v>81.26200163211891</v>
      </c>
      <c r="DH43" s="268">
        <f t="shared" si="12"/>
        <v>95.220484005042209</v>
      </c>
      <c r="DI43" s="268">
        <f t="shared" si="12"/>
        <v>95.220484005042209</v>
      </c>
      <c r="DJ43" s="268">
        <f t="shared" si="12"/>
        <v>95.220484005042209</v>
      </c>
      <c r="DK43" s="268">
        <f t="shared" si="12"/>
        <v>95.220484005042209</v>
      </c>
      <c r="DL43" s="268">
        <f t="shared" si="12"/>
        <v>86.65335442089021</v>
      </c>
      <c r="DM43" s="268">
        <f t="shared" si="12"/>
        <v>82.630050749298633</v>
      </c>
      <c r="DN43" s="268">
        <f t="shared" si="12"/>
        <v>82.630050749298633</v>
      </c>
      <c r="DO43" s="268">
        <f t="shared" si="12"/>
        <v>82.630050749298633</v>
      </c>
      <c r="DP43" s="268">
        <f t="shared" si="12"/>
        <v>82.630050749298633</v>
      </c>
      <c r="DQ43" s="268">
        <f t="shared" si="12"/>
        <v>75.093556065587293</v>
      </c>
      <c r="DR43" s="268">
        <f t="shared" si="12"/>
        <v>75.447180227859789</v>
      </c>
      <c r="DS43" s="268">
        <f t="shared" si="12"/>
        <v>75.447180227859789</v>
      </c>
      <c r="DT43" s="268">
        <f t="shared" si="12"/>
        <v>75.447180227859789</v>
      </c>
      <c r="DU43" s="268">
        <f t="shared" si="12"/>
        <v>75.447180227859789</v>
      </c>
      <c r="DV43" s="268">
        <f t="shared" si="12"/>
        <v>68.709899281303052</v>
      </c>
      <c r="DX43" s="211"/>
      <c r="DY43" s="58"/>
    </row>
    <row r="44" spans="2:130" x14ac:dyDescent="0.3">
      <c r="B44" s="45"/>
      <c r="C44" s="45"/>
      <c r="D44" s="45"/>
      <c r="E44" s="61" t="s">
        <v>99</v>
      </c>
      <c r="F44" s="268">
        <f t="shared" si="8"/>
        <v>27.320378696580669</v>
      </c>
      <c r="G44" s="267">
        <v>18.752743151962584</v>
      </c>
      <c r="H44" s="267">
        <v>18.752743151962584</v>
      </c>
      <c r="I44" s="267">
        <v>18.752743151962584</v>
      </c>
      <c r="J44" s="267">
        <v>18.752743151962584</v>
      </c>
      <c r="K44" s="267">
        <v>20.889461377355239</v>
      </c>
      <c r="L44" s="267">
        <v>16.872639453114196</v>
      </c>
      <c r="M44" s="267">
        <v>16.872639453114196</v>
      </c>
      <c r="N44" s="267">
        <v>16.872639453114196</v>
      </c>
      <c r="O44" s="267">
        <v>16.872639453114196</v>
      </c>
      <c r="P44" s="267">
        <v>19.224073177857978</v>
      </c>
      <c r="Q44" s="267">
        <v>0</v>
      </c>
      <c r="R44" s="267">
        <v>0</v>
      </c>
      <c r="S44" s="267">
        <v>0</v>
      </c>
      <c r="T44" s="267">
        <v>0</v>
      </c>
      <c r="U44" s="267">
        <v>0</v>
      </c>
      <c r="V44" s="267">
        <v>27.534754670884588</v>
      </c>
      <c r="W44" s="267">
        <v>27.534754670884592</v>
      </c>
      <c r="X44" s="267">
        <v>27.534754670884588</v>
      </c>
      <c r="Y44" s="267">
        <v>27.534754670884588</v>
      </c>
      <c r="Z44" s="267">
        <v>28.176998061672574</v>
      </c>
      <c r="AA44" s="267">
        <v>29.802235936295119</v>
      </c>
      <c r="AB44" s="267">
        <v>29.802235936295119</v>
      </c>
      <c r="AC44" s="267">
        <v>29.802235936295119</v>
      </c>
      <c r="AD44" s="267">
        <v>29.802235936295119</v>
      </c>
      <c r="AE44" s="267">
        <v>30.582833926226904</v>
      </c>
      <c r="AF44" s="267">
        <v>23.49307310390115</v>
      </c>
      <c r="AG44" s="267">
        <v>23.49307310390115</v>
      </c>
      <c r="AH44" s="267">
        <v>23.49307310390115</v>
      </c>
      <c r="AI44" s="267">
        <v>23.49307310390115</v>
      </c>
      <c r="AJ44" s="267">
        <v>24.910404591218985</v>
      </c>
      <c r="AK44" s="267">
        <v>0</v>
      </c>
      <c r="AL44" s="267">
        <v>0</v>
      </c>
      <c r="AM44" s="267">
        <v>0</v>
      </c>
      <c r="AN44" s="267">
        <v>0</v>
      </c>
      <c r="AO44" s="267">
        <v>0</v>
      </c>
      <c r="AP44" s="267">
        <v>30.501105305608217</v>
      </c>
      <c r="AQ44" s="267">
        <v>30.501105305608217</v>
      </c>
      <c r="AR44" s="267">
        <v>30.501105305608217</v>
      </c>
      <c r="AS44" s="267">
        <v>30.501105305608217</v>
      </c>
      <c r="AT44" s="267">
        <v>30.497140968756863</v>
      </c>
      <c r="AU44" s="267">
        <v>29.414997877567281</v>
      </c>
      <c r="AV44" s="267">
        <v>29.414997877567281</v>
      </c>
      <c r="AW44" s="267">
        <v>29.414997877567277</v>
      </c>
      <c r="AX44" s="267">
        <v>29.414997877567281</v>
      </c>
      <c r="AY44" s="267">
        <v>29.636308410468271</v>
      </c>
      <c r="AZ44" s="267">
        <v>31.615990099042236</v>
      </c>
      <c r="BA44" s="267">
        <v>31.615990099042236</v>
      </c>
      <c r="BB44" s="267">
        <v>31.615990099042236</v>
      </c>
      <c r="BC44" s="267">
        <v>31.615990099042236</v>
      </c>
      <c r="BD44" s="267">
        <v>31.918744110549699</v>
      </c>
      <c r="BE44" s="267">
        <v>31.109608197950319</v>
      </c>
      <c r="BF44" s="267">
        <v>31.109608197950323</v>
      </c>
      <c r="BG44" s="267">
        <v>31.109608197950323</v>
      </c>
      <c r="BH44" s="267">
        <v>31.109608197950323</v>
      </c>
      <c r="BI44" s="267">
        <v>30.946551464600351</v>
      </c>
      <c r="BJ44" s="267">
        <v>32.160141885091669</v>
      </c>
      <c r="BK44" s="267">
        <v>32.160141885091669</v>
      </c>
      <c r="BL44" s="267">
        <v>1.0180097339526435</v>
      </c>
      <c r="BM44" s="267">
        <v>32.160141885091669</v>
      </c>
      <c r="BN44" s="267">
        <v>31.715417659959719</v>
      </c>
      <c r="BO44" s="267">
        <v>18.752743151962584</v>
      </c>
      <c r="BP44" s="267">
        <v>18.752743151962584</v>
      </c>
      <c r="BQ44" s="267">
        <v>18.752743151962584</v>
      </c>
      <c r="BR44" s="267">
        <v>18.752743151962584</v>
      </c>
      <c r="BS44" s="267">
        <v>20.889461377355243</v>
      </c>
      <c r="BT44" s="267">
        <v>16.872639453114196</v>
      </c>
      <c r="BU44" s="267">
        <v>16.872639453114196</v>
      </c>
      <c r="BV44" s="267">
        <v>16.872639453114196</v>
      </c>
      <c r="BW44" s="267">
        <v>16.872639453114196</v>
      </c>
      <c r="BX44" s="267">
        <v>19.224073177857978</v>
      </c>
      <c r="BY44" s="267">
        <v>0</v>
      </c>
      <c r="BZ44" s="267">
        <v>0</v>
      </c>
      <c r="CA44" s="267">
        <v>0</v>
      </c>
      <c r="CB44" s="267">
        <v>0</v>
      </c>
      <c r="CC44" s="267">
        <v>0</v>
      </c>
      <c r="CD44" s="267">
        <v>27.534754670884588</v>
      </c>
      <c r="CE44" s="267">
        <v>27.534754670884588</v>
      </c>
      <c r="CF44" s="267">
        <v>27.534754670884588</v>
      </c>
      <c r="CG44" s="267">
        <v>27.534754670884588</v>
      </c>
      <c r="CH44" s="267">
        <v>28.176998061672574</v>
      </c>
      <c r="CI44" s="267">
        <v>29.802235936295119</v>
      </c>
      <c r="CJ44" s="267">
        <v>29.802235936295112</v>
      </c>
      <c r="CK44" s="267">
        <v>29.802235936295119</v>
      </c>
      <c r="CL44" s="267">
        <v>29.802235936295119</v>
      </c>
      <c r="CM44" s="267">
        <v>30.582833926226904</v>
      </c>
      <c r="CN44" s="267">
        <v>23.49307310390115</v>
      </c>
      <c r="CO44" s="267">
        <v>23.49307310390115</v>
      </c>
      <c r="CP44" s="267">
        <v>23.49307310390115</v>
      </c>
      <c r="CQ44" s="267">
        <v>23.49307310390115</v>
      </c>
      <c r="CR44" s="267">
        <v>24.910404591218985</v>
      </c>
      <c r="CS44" s="267">
        <v>0</v>
      </c>
      <c r="CT44" s="267">
        <v>0</v>
      </c>
      <c r="CU44" s="267">
        <v>0</v>
      </c>
      <c r="CV44" s="267">
        <v>0</v>
      </c>
      <c r="CW44" s="267">
        <v>0</v>
      </c>
      <c r="CX44" s="267">
        <v>30.501105305608217</v>
      </c>
      <c r="CY44" s="267">
        <v>30.501105305608217</v>
      </c>
      <c r="CZ44" s="267">
        <v>30.501105305608217</v>
      </c>
      <c r="DA44" s="267">
        <v>30.501105305608217</v>
      </c>
      <c r="DB44" s="267">
        <v>30.497140968756863</v>
      </c>
      <c r="DC44" s="267">
        <v>29.414997877567281</v>
      </c>
      <c r="DD44" s="267">
        <v>29.414997877567281</v>
      </c>
      <c r="DE44" s="267">
        <v>29.414997877567281</v>
      </c>
      <c r="DF44" s="267">
        <v>29.414997877567281</v>
      </c>
      <c r="DG44" s="267">
        <v>29.636308410468274</v>
      </c>
      <c r="DH44" s="267">
        <v>31.615990099042236</v>
      </c>
      <c r="DI44" s="267">
        <v>31.615990099042236</v>
      </c>
      <c r="DJ44" s="267">
        <v>31.615990099042236</v>
      </c>
      <c r="DK44" s="267">
        <v>31.615990099042236</v>
      </c>
      <c r="DL44" s="267">
        <v>31.918744110549692</v>
      </c>
      <c r="DM44" s="267">
        <v>31.109608197950323</v>
      </c>
      <c r="DN44" s="267">
        <v>31.109608197950323</v>
      </c>
      <c r="DO44" s="267">
        <v>31.109608197950323</v>
      </c>
      <c r="DP44" s="267">
        <v>31.109608197950323</v>
      </c>
      <c r="DQ44" s="267">
        <v>30.946551464600351</v>
      </c>
      <c r="DR44" s="267">
        <v>32.160141885091669</v>
      </c>
      <c r="DS44" s="267">
        <v>32.160141885091669</v>
      </c>
      <c r="DT44" s="267">
        <v>32.160141885091669</v>
      </c>
      <c r="DU44" s="267">
        <v>32.160141885091669</v>
      </c>
      <c r="DV44" s="267">
        <v>31.715417659959719</v>
      </c>
    </row>
    <row r="45" spans="2:130" x14ac:dyDescent="0.3">
      <c r="B45" s="45"/>
      <c r="C45" s="45"/>
      <c r="D45" s="45"/>
      <c r="E45" s="62"/>
      <c r="F45" s="63"/>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c r="CJ45" s="6"/>
      <c r="CK45" s="6"/>
      <c r="CL45" s="6"/>
      <c r="CM45" s="6"/>
      <c r="CN45" s="6"/>
      <c r="CO45" s="6"/>
      <c r="CP45" s="6"/>
      <c r="CQ45" s="6"/>
      <c r="CR45" s="6"/>
      <c r="CS45" s="6"/>
      <c r="CT45" s="6"/>
      <c r="CU45" s="6"/>
      <c r="CV45" s="6"/>
      <c r="CW45" s="6"/>
      <c r="CX45" s="6"/>
      <c r="CY45" s="6"/>
      <c r="CZ45" s="6"/>
      <c r="DA45" s="6"/>
      <c r="DB45" s="6"/>
      <c r="DC45" s="6"/>
      <c r="DD45" s="6"/>
      <c r="DE45" s="6"/>
      <c r="DF45" s="6"/>
      <c r="DG45" s="6"/>
      <c r="DH45" s="6"/>
      <c r="DI45" s="6"/>
      <c r="DJ45" s="6"/>
      <c r="DK45" s="6"/>
      <c r="DL45" s="6"/>
      <c r="DM45" s="6"/>
      <c r="DN45" s="6"/>
      <c r="DO45" s="6"/>
      <c r="DP45" s="6"/>
      <c r="DQ45" s="6"/>
      <c r="DR45" s="6"/>
      <c r="DS45" s="6"/>
      <c r="DT45" s="6"/>
      <c r="DU45" s="6"/>
      <c r="DV45" s="6"/>
      <c r="DX45" s="211"/>
      <c r="DY45" s="211"/>
      <c r="DZ45" s="211"/>
    </row>
    <row r="46" spans="2:130" x14ac:dyDescent="0.3">
      <c r="B46" s="45"/>
      <c r="C46" s="45"/>
      <c r="D46" s="45"/>
      <c r="E46" s="45"/>
      <c r="F46" s="45"/>
      <c r="G46" s="276"/>
      <c r="H46" s="276"/>
      <c r="I46" s="276"/>
      <c r="J46" s="276"/>
      <c r="K46" s="276"/>
      <c r="L46" s="276"/>
      <c r="M46" s="276"/>
      <c r="N46" s="276"/>
      <c r="O46" s="276"/>
      <c r="P46" s="276"/>
      <c r="Q46" s="276"/>
      <c r="R46" s="276"/>
      <c r="S46" s="276"/>
      <c r="T46" s="276"/>
      <c r="U46" s="276"/>
      <c r="V46" s="276"/>
      <c r="W46" s="276"/>
      <c r="X46" s="276"/>
      <c r="Y46" s="276"/>
      <c r="Z46" s="276"/>
      <c r="AA46" s="276"/>
      <c r="AB46" s="276"/>
      <c r="AC46" s="276"/>
      <c r="AD46" s="276"/>
      <c r="AE46" s="276"/>
      <c r="AF46" s="276"/>
      <c r="AG46" s="276"/>
      <c r="AH46" s="276"/>
      <c r="AI46" s="276"/>
      <c r="AJ46" s="276"/>
      <c r="AK46" s="276"/>
      <c r="AL46" s="276"/>
      <c r="AM46" s="276"/>
      <c r="AN46" s="276"/>
      <c r="AO46" s="276"/>
      <c r="AP46" s="276"/>
      <c r="AQ46" s="276"/>
      <c r="AR46" s="276"/>
      <c r="AS46" s="276"/>
      <c r="AT46" s="276"/>
      <c r="AU46" s="276"/>
      <c r="AV46" s="276"/>
      <c r="AW46" s="276"/>
      <c r="AX46" s="276"/>
      <c r="AY46" s="276"/>
      <c r="AZ46" s="276"/>
      <c r="BA46" s="276"/>
      <c r="BB46" s="276"/>
      <c r="BC46" s="276"/>
      <c r="BD46" s="276"/>
      <c r="BE46" s="276"/>
      <c r="BF46" s="276"/>
      <c r="BG46" s="276"/>
      <c r="BH46" s="276"/>
      <c r="BI46" s="276"/>
      <c r="BJ46" s="276"/>
      <c r="BK46" s="276"/>
      <c r="BL46" s="276"/>
      <c r="BM46" s="276"/>
      <c r="BN46" s="276"/>
      <c r="BO46" s="276"/>
      <c r="BP46" s="276"/>
      <c r="BQ46" s="276"/>
      <c r="BR46" s="276"/>
      <c r="BS46" s="276"/>
      <c r="BT46" s="276"/>
      <c r="BU46" s="276"/>
      <c r="BV46" s="276"/>
      <c r="BW46" s="276"/>
      <c r="BX46" s="276"/>
      <c r="BY46" s="276"/>
      <c r="BZ46" s="276"/>
      <c r="CA46" s="276"/>
      <c r="CB46" s="276"/>
      <c r="CC46" s="276"/>
      <c r="CD46" s="276"/>
      <c r="CE46" s="276"/>
      <c r="CF46" s="276"/>
      <c r="CG46" s="276"/>
      <c r="CH46" s="276"/>
      <c r="CI46" s="276"/>
      <c r="CJ46" s="276"/>
      <c r="CK46" s="276"/>
      <c r="CL46" s="276"/>
      <c r="CM46" s="276"/>
      <c r="CN46" s="276"/>
      <c r="CO46" s="276"/>
      <c r="CP46" s="276"/>
      <c r="CQ46" s="276"/>
      <c r="CR46" s="276"/>
      <c r="CS46" s="276"/>
      <c r="CT46" s="276"/>
      <c r="CU46" s="276"/>
      <c r="CV46" s="276"/>
      <c r="CW46" s="276"/>
      <c r="CX46" s="276"/>
      <c r="CY46" s="276"/>
      <c r="CZ46" s="276"/>
      <c r="DA46" s="276"/>
      <c r="DB46" s="276"/>
      <c r="DC46" s="276"/>
      <c r="DD46" s="276"/>
      <c r="DE46" s="276"/>
      <c r="DF46" s="276"/>
      <c r="DG46" s="276"/>
      <c r="DH46" s="276"/>
      <c r="DI46" s="276"/>
      <c r="DJ46" s="276"/>
      <c r="DK46" s="276"/>
      <c r="DL46" s="276"/>
      <c r="DM46" s="276"/>
      <c r="DN46" s="276"/>
      <c r="DO46" s="276"/>
      <c r="DP46" s="276"/>
      <c r="DQ46" s="276"/>
      <c r="DR46" s="276"/>
      <c r="DS46" s="276"/>
      <c r="DT46" s="276"/>
      <c r="DU46" s="276"/>
      <c r="DV46" s="276"/>
    </row>
    <row r="47" spans="2:130" x14ac:dyDescent="0.3">
      <c r="B47" s="45"/>
      <c r="C47" s="45"/>
      <c r="D47" s="45"/>
      <c r="E47" s="64" t="s">
        <v>36</v>
      </c>
      <c r="F47" s="358">
        <f>SUMPRODUCT(G47:DV47,G48:DV48)/SUM(G48:DV48)</f>
        <v>310.56662171774855</v>
      </c>
      <c r="G47" s="342">
        <v>496.57473476700596</v>
      </c>
      <c r="H47" s="342">
        <v>496.57473476700596</v>
      </c>
      <c r="I47" s="342">
        <v>496.57473476700596</v>
      </c>
      <c r="J47" s="342">
        <v>496.57473476700596</v>
      </c>
      <c r="K47" s="342">
        <v>451.82198222170274</v>
      </c>
      <c r="L47" s="342">
        <v>481.93105557071425</v>
      </c>
      <c r="M47" s="342">
        <v>481.93105557071425</v>
      </c>
      <c r="N47" s="342">
        <v>481.93105557071425</v>
      </c>
      <c r="O47" s="342">
        <v>481.93105557071425</v>
      </c>
      <c r="P47" s="342">
        <v>438.48249120407746</v>
      </c>
      <c r="Q47" s="342" t="s">
        <v>356</v>
      </c>
      <c r="R47" s="342" t="s">
        <v>356</v>
      </c>
      <c r="S47" s="342" t="s">
        <v>356</v>
      </c>
      <c r="T47" s="342" t="s">
        <v>356</v>
      </c>
      <c r="U47" s="342" t="s">
        <v>356</v>
      </c>
      <c r="V47" s="342">
        <v>428.91622469968831</v>
      </c>
      <c r="W47" s="342">
        <v>428.91622469968831</v>
      </c>
      <c r="X47" s="342">
        <v>428.91622469968831</v>
      </c>
      <c r="Y47" s="342">
        <v>428.91622469968831</v>
      </c>
      <c r="Z47" s="342">
        <v>390.26957256615464</v>
      </c>
      <c r="AA47" s="342">
        <v>419.31018806862926</v>
      </c>
      <c r="AB47" s="342">
        <v>419.31018806862926</v>
      </c>
      <c r="AC47" s="342">
        <v>419.31018806862926</v>
      </c>
      <c r="AD47" s="342">
        <v>419.31018806862926</v>
      </c>
      <c r="AE47" s="342">
        <v>381.30475600142682</v>
      </c>
      <c r="AF47" s="342">
        <v>403.18972856598674</v>
      </c>
      <c r="AG47" s="342">
        <v>403.18972856598674</v>
      </c>
      <c r="AH47" s="342">
        <v>403.18972856598674</v>
      </c>
      <c r="AI47" s="342">
        <v>403.18972856598674</v>
      </c>
      <c r="AJ47" s="342">
        <v>366.81352541206638</v>
      </c>
      <c r="AK47" s="342" t="s">
        <v>356</v>
      </c>
      <c r="AL47" s="342" t="s">
        <v>356</v>
      </c>
      <c r="AM47" s="342" t="s">
        <v>356</v>
      </c>
      <c r="AN47" s="342" t="s">
        <v>356</v>
      </c>
      <c r="AO47" s="342" t="s">
        <v>356</v>
      </c>
      <c r="AP47" s="342">
        <v>330.34998094701649</v>
      </c>
      <c r="AQ47" s="342">
        <v>330.34998094701649</v>
      </c>
      <c r="AR47" s="342">
        <v>330.34998094701649</v>
      </c>
      <c r="AS47" s="342">
        <v>330.34998094701649</v>
      </c>
      <c r="AT47" s="342">
        <v>300.27029476696669</v>
      </c>
      <c r="AU47" s="342">
        <v>335.21827011039568</v>
      </c>
      <c r="AV47" s="342">
        <v>335.21827011039568</v>
      </c>
      <c r="AW47" s="342">
        <v>335.21827011039568</v>
      </c>
      <c r="AX47" s="342">
        <v>335.21827011039568</v>
      </c>
      <c r="AY47" s="342">
        <v>305.00201414445655</v>
      </c>
      <c r="AZ47" s="342">
        <v>354.35501780113754</v>
      </c>
      <c r="BA47" s="342">
        <v>354.35501780113754</v>
      </c>
      <c r="BB47" s="342">
        <v>354.35501780113754</v>
      </c>
      <c r="BC47" s="342">
        <v>354.35501780113754</v>
      </c>
      <c r="BD47" s="342">
        <v>322.63301991190502</v>
      </c>
      <c r="BE47" s="342">
        <v>323.45877378402162</v>
      </c>
      <c r="BF47" s="342">
        <v>323.45877378402162</v>
      </c>
      <c r="BG47" s="342">
        <v>323.45877378402162</v>
      </c>
      <c r="BH47" s="342">
        <v>323.45877378402162</v>
      </c>
      <c r="BI47" s="342">
        <v>293.90369079382333</v>
      </c>
      <c r="BJ47" s="342">
        <v>305.70075586955573</v>
      </c>
      <c r="BK47" s="342">
        <v>305.70075586955573</v>
      </c>
      <c r="BL47" s="342" t="s">
        <v>356</v>
      </c>
      <c r="BM47" s="342">
        <v>305.70075586955573</v>
      </c>
      <c r="BN47" s="342">
        <v>278.54400894167793</v>
      </c>
      <c r="BO47" s="342">
        <v>496.57473476700596</v>
      </c>
      <c r="BP47" s="342">
        <v>496.57473476700596</v>
      </c>
      <c r="BQ47" s="342">
        <v>496.57473476700596</v>
      </c>
      <c r="BR47" s="342">
        <v>496.57473476700596</v>
      </c>
      <c r="BS47" s="342">
        <v>451.82198222170274</v>
      </c>
      <c r="BT47" s="342">
        <v>481.93105557071425</v>
      </c>
      <c r="BU47" s="342">
        <v>481.93105557071425</v>
      </c>
      <c r="BV47" s="342">
        <v>481.93105557071425</v>
      </c>
      <c r="BW47" s="342">
        <v>481.93105557071425</v>
      </c>
      <c r="BX47" s="342">
        <v>438.48249120407746</v>
      </c>
      <c r="BY47" s="342" t="s">
        <v>356</v>
      </c>
      <c r="BZ47" s="342" t="s">
        <v>356</v>
      </c>
      <c r="CA47" s="342" t="s">
        <v>356</v>
      </c>
      <c r="CB47" s="342" t="s">
        <v>356</v>
      </c>
      <c r="CC47" s="342" t="s">
        <v>356</v>
      </c>
      <c r="CD47" s="342">
        <v>428.91622469968831</v>
      </c>
      <c r="CE47" s="342">
        <v>428.91622469968831</v>
      </c>
      <c r="CF47" s="342">
        <v>428.91622469968831</v>
      </c>
      <c r="CG47" s="342">
        <v>428.91622469968831</v>
      </c>
      <c r="CH47" s="342">
        <v>390.26957256615464</v>
      </c>
      <c r="CI47" s="342">
        <v>419.31018806862926</v>
      </c>
      <c r="CJ47" s="342">
        <v>419.31018806862926</v>
      </c>
      <c r="CK47" s="342">
        <v>419.31018806862926</v>
      </c>
      <c r="CL47" s="342">
        <v>419.31018806862926</v>
      </c>
      <c r="CM47" s="342">
        <v>381.30475600142682</v>
      </c>
      <c r="CN47" s="342">
        <v>403.18972856598674</v>
      </c>
      <c r="CO47" s="342">
        <v>403.18972856598674</v>
      </c>
      <c r="CP47" s="342">
        <v>403.18972856598674</v>
      </c>
      <c r="CQ47" s="342">
        <v>403.18972856598674</v>
      </c>
      <c r="CR47" s="342">
        <v>366.81352541206638</v>
      </c>
      <c r="CS47" s="342" t="s">
        <v>356</v>
      </c>
      <c r="CT47" s="342" t="s">
        <v>356</v>
      </c>
      <c r="CU47" s="342" t="s">
        <v>356</v>
      </c>
      <c r="CV47" s="342" t="s">
        <v>356</v>
      </c>
      <c r="CW47" s="342" t="s">
        <v>356</v>
      </c>
      <c r="CX47" s="342">
        <v>330.34998094701649</v>
      </c>
      <c r="CY47" s="342">
        <v>330.34998094701649</v>
      </c>
      <c r="CZ47" s="342">
        <v>330.34998094701649</v>
      </c>
      <c r="DA47" s="342">
        <v>330.34998094701649</v>
      </c>
      <c r="DB47" s="342">
        <v>300.27029476696669</v>
      </c>
      <c r="DC47" s="342">
        <v>335.21827011039568</v>
      </c>
      <c r="DD47" s="342">
        <v>335.21827011039568</v>
      </c>
      <c r="DE47" s="342">
        <v>335.21827011039568</v>
      </c>
      <c r="DF47" s="342">
        <v>335.21827011039568</v>
      </c>
      <c r="DG47" s="342">
        <v>305.00201414445655</v>
      </c>
      <c r="DH47" s="342">
        <v>354.35501780113754</v>
      </c>
      <c r="DI47" s="342">
        <v>354.35501780113754</v>
      </c>
      <c r="DJ47" s="342">
        <v>354.35501780113754</v>
      </c>
      <c r="DK47" s="342">
        <v>354.35501780113754</v>
      </c>
      <c r="DL47" s="342">
        <v>322.63301991190502</v>
      </c>
      <c r="DM47" s="342">
        <v>323.45877378402162</v>
      </c>
      <c r="DN47" s="342">
        <v>323.45877378402162</v>
      </c>
      <c r="DO47" s="342">
        <v>323.45877378402162</v>
      </c>
      <c r="DP47" s="342">
        <v>323.45877378402162</v>
      </c>
      <c r="DQ47" s="342">
        <v>293.90369079382333</v>
      </c>
      <c r="DR47" s="342">
        <v>305.70075586955573</v>
      </c>
      <c r="DS47" s="342">
        <v>305.70075586955573</v>
      </c>
      <c r="DT47" s="342">
        <v>305.70075586955573</v>
      </c>
      <c r="DU47" s="342">
        <v>305.70075586955573</v>
      </c>
      <c r="DV47" s="342">
        <v>278.54400894167793</v>
      </c>
      <c r="DY47" s="58"/>
      <c r="DZ47" s="58"/>
    </row>
    <row r="48" spans="2:130" x14ac:dyDescent="0.3">
      <c r="B48" s="45"/>
      <c r="C48" s="45"/>
      <c r="D48" s="45"/>
      <c r="E48" s="64" t="s">
        <v>6</v>
      </c>
      <c r="F48" s="356">
        <f>SUM(G48:DV48)</f>
        <v>1324543</v>
      </c>
      <c r="G48" s="357">
        <v>29062</v>
      </c>
      <c r="H48" s="357">
        <v>3329</v>
      </c>
      <c r="I48" s="357">
        <v>530</v>
      </c>
      <c r="J48" s="357">
        <v>480</v>
      </c>
      <c r="K48" s="357">
        <v>4384</v>
      </c>
      <c r="L48" s="357">
        <v>11018</v>
      </c>
      <c r="M48" s="357">
        <v>1948</v>
      </c>
      <c r="N48" s="357">
        <v>413</v>
      </c>
      <c r="O48" s="357">
        <v>341</v>
      </c>
      <c r="P48" s="357">
        <v>1908</v>
      </c>
      <c r="Q48" s="357">
        <v>6715</v>
      </c>
      <c r="R48" s="357">
        <v>1034</v>
      </c>
      <c r="S48" s="357">
        <v>226</v>
      </c>
      <c r="T48" s="357">
        <v>234</v>
      </c>
      <c r="U48" s="357">
        <v>896</v>
      </c>
      <c r="V48" s="357">
        <v>34632</v>
      </c>
      <c r="W48" s="357">
        <v>5577</v>
      </c>
      <c r="X48" s="357">
        <v>1160</v>
      </c>
      <c r="Y48" s="357">
        <v>1611</v>
      </c>
      <c r="Z48" s="357">
        <v>3859</v>
      </c>
      <c r="AA48" s="357">
        <v>58134</v>
      </c>
      <c r="AB48" s="357">
        <v>10330</v>
      </c>
      <c r="AC48" s="357">
        <v>2200</v>
      </c>
      <c r="AD48" s="357">
        <v>1792</v>
      </c>
      <c r="AE48" s="357">
        <v>7112</v>
      </c>
      <c r="AF48" s="357">
        <v>41494</v>
      </c>
      <c r="AG48" s="357">
        <v>8921</v>
      </c>
      <c r="AH48" s="357">
        <v>1424</v>
      </c>
      <c r="AI48" s="357">
        <v>2139</v>
      </c>
      <c r="AJ48" s="357">
        <v>7539</v>
      </c>
      <c r="AK48" s="357">
        <v>113692</v>
      </c>
      <c r="AL48" s="357">
        <v>19926</v>
      </c>
      <c r="AM48" s="357">
        <v>3910</v>
      </c>
      <c r="AN48" s="357">
        <v>4783</v>
      </c>
      <c r="AO48" s="357">
        <v>13930</v>
      </c>
      <c r="AP48" s="357">
        <v>29455</v>
      </c>
      <c r="AQ48" s="357">
        <v>5008</v>
      </c>
      <c r="AR48" s="357">
        <v>917</v>
      </c>
      <c r="AS48" s="357">
        <v>1255</v>
      </c>
      <c r="AT48" s="357">
        <v>4375</v>
      </c>
      <c r="AU48" s="357">
        <v>106990</v>
      </c>
      <c r="AV48" s="357">
        <v>29953</v>
      </c>
      <c r="AW48" s="357">
        <v>3640</v>
      </c>
      <c r="AX48" s="357">
        <v>8532</v>
      </c>
      <c r="AY48" s="357">
        <v>22924</v>
      </c>
      <c r="AZ48" s="357">
        <v>11887</v>
      </c>
      <c r="BA48" s="357">
        <v>3106</v>
      </c>
      <c r="BB48" s="357">
        <v>499</v>
      </c>
      <c r="BC48" s="357">
        <v>794</v>
      </c>
      <c r="BD48" s="357">
        <v>2506</v>
      </c>
      <c r="BE48" s="357">
        <v>85606</v>
      </c>
      <c r="BF48" s="357">
        <v>15290</v>
      </c>
      <c r="BG48" s="357">
        <v>2346</v>
      </c>
      <c r="BH48" s="357">
        <v>5633</v>
      </c>
      <c r="BI48" s="357">
        <v>14587</v>
      </c>
      <c r="BJ48" s="357">
        <v>5805</v>
      </c>
      <c r="BK48" s="357">
        <v>1536</v>
      </c>
      <c r="BL48" s="357">
        <v>1</v>
      </c>
      <c r="BM48" s="357">
        <v>161</v>
      </c>
      <c r="BN48" s="357">
        <v>359</v>
      </c>
      <c r="BO48" s="357">
        <v>72149</v>
      </c>
      <c r="BP48" s="357">
        <v>6442</v>
      </c>
      <c r="BQ48" s="357">
        <v>815</v>
      </c>
      <c r="BR48" s="357">
        <v>2088</v>
      </c>
      <c r="BS48" s="357">
        <v>7590</v>
      </c>
      <c r="BT48" s="357">
        <v>15711</v>
      </c>
      <c r="BU48" s="357">
        <v>2995</v>
      </c>
      <c r="BV48" s="357">
        <v>304</v>
      </c>
      <c r="BW48" s="357">
        <v>186</v>
      </c>
      <c r="BX48" s="357">
        <v>2835</v>
      </c>
      <c r="BY48" s="357">
        <v>11972</v>
      </c>
      <c r="BZ48" s="357">
        <v>1723</v>
      </c>
      <c r="CA48" s="357">
        <v>251</v>
      </c>
      <c r="CB48" s="357">
        <v>273</v>
      </c>
      <c r="CC48" s="357">
        <v>1470</v>
      </c>
      <c r="CD48" s="357">
        <v>30166</v>
      </c>
      <c r="CE48" s="357">
        <v>3652</v>
      </c>
      <c r="CF48" s="357">
        <v>655</v>
      </c>
      <c r="CG48" s="357">
        <v>851</v>
      </c>
      <c r="CH48" s="357">
        <v>2854</v>
      </c>
      <c r="CI48" s="357">
        <v>29895</v>
      </c>
      <c r="CJ48" s="357">
        <v>6371</v>
      </c>
      <c r="CK48" s="357">
        <v>1203</v>
      </c>
      <c r="CL48" s="357">
        <v>1411</v>
      </c>
      <c r="CM48" s="357">
        <v>3463</v>
      </c>
      <c r="CN48" s="357">
        <v>18674</v>
      </c>
      <c r="CO48" s="357">
        <v>5457</v>
      </c>
      <c r="CP48" s="357">
        <v>929</v>
      </c>
      <c r="CQ48" s="357">
        <v>1114</v>
      </c>
      <c r="CR48" s="357">
        <v>2904</v>
      </c>
      <c r="CS48" s="357">
        <v>34443</v>
      </c>
      <c r="CT48" s="357">
        <v>6197</v>
      </c>
      <c r="CU48" s="357">
        <v>1071</v>
      </c>
      <c r="CV48" s="357">
        <v>1566</v>
      </c>
      <c r="CW48" s="357">
        <v>3566</v>
      </c>
      <c r="CX48" s="357">
        <v>23746</v>
      </c>
      <c r="CY48" s="357">
        <v>4658</v>
      </c>
      <c r="CZ48" s="357">
        <v>434</v>
      </c>
      <c r="DA48" s="357">
        <v>904</v>
      </c>
      <c r="DB48" s="357">
        <v>2459</v>
      </c>
      <c r="DC48" s="357">
        <v>79396</v>
      </c>
      <c r="DD48" s="357">
        <v>30800</v>
      </c>
      <c r="DE48" s="357">
        <v>3621</v>
      </c>
      <c r="DF48" s="357">
        <v>9437</v>
      </c>
      <c r="DG48" s="357">
        <v>19790</v>
      </c>
      <c r="DH48" s="357">
        <v>11504</v>
      </c>
      <c r="DI48" s="357">
        <v>3377</v>
      </c>
      <c r="DJ48" s="357">
        <v>496</v>
      </c>
      <c r="DK48" s="357">
        <v>1416</v>
      </c>
      <c r="DL48" s="357">
        <v>1433</v>
      </c>
      <c r="DM48" s="357">
        <v>37055</v>
      </c>
      <c r="DN48" s="357">
        <v>11661</v>
      </c>
      <c r="DO48" s="357">
        <v>1267</v>
      </c>
      <c r="DP48" s="357">
        <v>4515</v>
      </c>
      <c r="DQ48" s="357">
        <v>8781</v>
      </c>
      <c r="DR48" s="357">
        <v>10251</v>
      </c>
      <c r="DS48" s="357">
        <v>3126</v>
      </c>
      <c r="DT48" s="357">
        <v>115</v>
      </c>
      <c r="DU48" s="357">
        <v>469</v>
      </c>
      <c r="DV48" s="357">
        <v>738</v>
      </c>
    </row>
    <row r="49" spans="1:127" x14ac:dyDescent="0.3">
      <c r="B49" s="45"/>
      <c r="C49" s="45"/>
      <c r="D49" s="45"/>
      <c r="E49" s="45"/>
      <c r="F49" s="45"/>
      <c r="G49" s="276"/>
      <c r="H49" s="276"/>
      <c r="I49" s="276"/>
      <c r="J49" s="276"/>
      <c r="K49" s="276"/>
      <c r="L49" s="276"/>
      <c r="M49" s="276"/>
      <c r="N49" s="276"/>
      <c r="O49" s="276"/>
      <c r="P49" s="276"/>
      <c r="Q49" s="276"/>
      <c r="R49" s="276"/>
      <c r="S49" s="276"/>
      <c r="T49" s="276"/>
      <c r="U49" s="276"/>
      <c r="V49" s="276"/>
      <c r="W49" s="276"/>
      <c r="X49" s="276"/>
      <c r="Y49" s="276"/>
      <c r="Z49" s="276"/>
      <c r="AA49" s="276"/>
      <c r="AB49" s="276"/>
      <c r="AC49" s="276"/>
      <c r="AD49" s="276"/>
      <c r="AE49" s="276"/>
      <c r="AF49" s="276"/>
      <c r="AG49" s="276"/>
      <c r="AH49" s="276"/>
      <c r="AI49" s="276"/>
      <c r="AJ49" s="276"/>
      <c r="AK49" s="276"/>
      <c r="AL49" s="276"/>
      <c r="AM49" s="276"/>
      <c r="AN49" s="276"/>
      <c r="AO49" s="276"/>
      <c r="AP49" s="276"/>
      <c r="AQ49" s="276"/>
      <c r="AR49" s="276"/>
      <c r="AS49" s="276"/>
      <c r="AT49" s="276"/>
      <c r="AU49" s="276"/>
      <c r="AV49" s="276"/>
      <c r="AW49" s="276"/>
      <c r="AX49" s="276"/>
      <c r="AY49" s="276"/>
      <c r="AZ49" s="276"/>
      <c r="BA49" s="276"/>
      <c r="BB49" s="276"/>
      <c r="BC49" s="276"/>
      <c r="BD49" s="276"/>
      <c r="BE49" s="276"/>
      <c r="BF49" s="276"/>
      <c r="BG49" s="276"/>
      <c r="BH49" s="276"/>
      <c r="BI49" s="276"/>
      <c r="BJ49" s="276"/>
      <c r="BK49" s="276"/>
      <c r="BL49" s="276"/>
      <c r="BM49" s="276"/>
      <c r="BN49" s="276"/>
      <c r="BO49" s="276"/>
      <c r="BP49" s="276"/>
      <c r="BQ49" s="276"/>
      <c r="BR49" s="276"/>
      <c r="BS49" s="276"/>
      <c r="BT49" s="276"/>
      <c r="BU49" s="276"/>
      <c r="BV49" s="276"/>
      <c r="BW49" s="276"/>
      <c r="BX49" s="276"/>
      <c r="BY49" s="276"/>
      <c r="BZ49" s="276"/>
      <c r="CA49" s="276"/>
      <c r="CB49" s="276"/>
      <c r="CC49" s="276"/>
      <c r="CD49" s="276"/>
      <c r="CE49" s="276"/>
      <c r="CF49" s="276"/>
      <c r="CG49" s="276"/>
      <c r="CH49" s="276"/>
      <c r="CI49" s="276"/>
      <c r="CJ49" s="276"/>
      <c r="CK49" s="276"/>
      <c r="CL49" s="276"/>
      <c r="CM49" s="276"/>
      <c r="CN49" s="276"/>
      <c r="CO49" s="276"/>
      <c r="CP49" s="276"/>
      <c r="CQ49" s="276"/>
      <c r="CR49" s="276"/>
      <c r="CS49" s="276"/>
      <c r="CT49" s="276"/>
      <c r="CU49" s="276"/>
      <c r="CV49" s="276"/>
      <c r="CW49" s="276"/>
      <c r="CX49" s="276"/>
      <c r="CY49" s="276"/>
      <c r="CZ49" s="276"/>
      <c r="DA49" s="276"/>
      <c r="DB49" s="276"/>
      <c r="DC49" s="276"/>
      <c r="DD49" s="276"/>
      <c r="DE49" s="276"/>
      <c r="DF49" s="276"/>
      <c r="DG49" s="276"/>
      <c r="DH49" s="276"/>
      <c r="DI49" s="276"/>
      <c r="DJ49" s="276"/>
      <c r="DK49" s="276"/>
      <c r="DL49" s="276"/>
      <c r="DM49" s="276"/>
      <c r="DN49" s="276"/>
      <c r="DO49" s="276"/>
      <c r="DP49" s="276"/>
      <c r="DQ49" s="276"/>
      <c r="DR49" s="276"/>
      <c r="DS49" s="276"/>
      <c r="DT49" s="276"/>
      <c r="DU49" s="276"/>
      <c r="DV49" s="276"/>
    </row>
    <row r="50" spans="1:127" x14ac:dyDescent="0.3">
      <c r="B50" s="45"/>
      <c r="C50" s="45"/>
      <c r="D50" s="45"/>
      <c r="E50" s="45"/>
      <c r="F50" s="45"/>
      <c r="G50" s="281"/>
      <c r="H50" s="281"/>
      <c r="I50" s="281"/>
      <c r="J50" s="281"/>
      <c r="K50" s="281"/>
      <c r="L50" s="281"/>
      <c r="M50" s="281"/>
      <c r="N50" s="281"/>
      <c r="O50" s="281"/>
      <c r="P50" s="281"/>
      <c r="Q50" s="281"/>
      <c r="R50" s="281"/>
      <c r="S50" s="281"/>
      <c r="T50" s="281"/>
      <c r="U50" s="281"/>
      <c r="V50" s="281"/>
      <c r="W50" s="281"/>
      <c r="X50" s="281"/>
      <c r="Y50" s="281"/>
      <c r="Z50" s="281"/>
      <c r="AA50" s="281"/>
      <c r="AB50" s="281"/>
      <c r="AC50" s="281"/>
      <c r="AD50" s="281"/>
      <c r="AE50" s="281"/>
      <c r="AF50" s="281"/>
      <c r="AG50" s="281"/>
      <c r="AH50" s="281"/>
      <c r="AI50" s="281"/>
      <c r="AJ50" s="281"/>
      <c r="AK50" s="281"/>
      <c r="AL50" s="281"/>
      <c r="AM50" s="281"/>
      <c r="AN50" s="281"/>
      <c r="AO50" s="281"/>
      <c r="AP50" s="281"/>
      <c r="AQ50" s="281"/>
      <c r="AR50" s="281"/>
      <c r="AS50" s="281"/>
      <c r="AT50" s="281"/>
      <c r="AU50" s="281"/>
      <c r="AV50" s="281"/>
      <c r="AW50" s="281"/>
      <c r="AX50" s="281"/>
      <c r="AY50" s="281"/>
      <c r="AZ50" s="281"/>
      <c r="BA50" s="281"/>
      <c r="BB50" s="281"/>
      <c r="BC50" s="281"/>
      <c r="BD50" s="281"/>
      <c r="BE50" s="281"/>
      <c r="BF50" s="281"/>
      <c r="BG50" s="281"/>
      <c r="BH50" s="281"/>
      <c r="BI50" s="281"/>
      <c r="BJ50" s="281"/>
      <c r="BK50" s="281"/>
      <c r="BL50" s="281"/>
      <c r="BM50" s="281"/>
      <c r="BN50" s="281"/>
      <c r="BO50" s="281"/>
      <c r="BP50" s="281"/>
      <c r="BQ50" s="281"/>
      <c r="BR50" s="281"/>
      <c r="BS50" s="281"/>
      <c r="BT50" s="281"/>
      <c r="BU50" s="281"/>
      <c r="BV50" s="281"/>
      <c r="BW50" s="281"/>
      <c r="BX50" s="281"/>
      <c r="BY50" s="281"/>
      <c r="BZ50" s="28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1"/>
      <c r="DD50" s="281"/>
      <c r="DE50" s="281"/>
      <c r="DF50" s="281"/>
      <c r="DG50" s="281"/>
      <c r="DH50" s="281"/>
      <c r="DI50" s="281"/>
      <c r="DJ50" s="281"/>
      <c r="DK50" s="281"/>
      <c r="DL50" s="281"/>
      <c r="DM50" s="281"/>
      <c r="DN50" s="281"/>
      <c r="DO50" s="281"/>
      <c r="DP50" s="281"/>
      <c r="DQ50" s="281"/>
      <c r="DR50" s="281"/>
      <c r="DS50" s="281"/>
      <c r="DT50" s="281"/>
      <c r="DU50" s="281"/>
      <c r="DV50" s="281"/>
      <c r="DW50" s="115"/>
    </row>
    <row r="51" spans="1:127" ht="15.75" customHeight="1" x14ac:dyDescent="0.3">
      <c r="B51" s="45"/>
      <c r="C51" s="45"/>
      <c r="D51" s="45"/>
      <c r="E51" s="45"/>
      <c r="F51" s="4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c r="BJ51" s="35"/>
      <c r="BK51" s="35"/>
      <c r="BL51" s="35"/>
      <c r="BM51" s="35"/>
      <c r="BN51" s="35"/>
      <c r="BO51" s="35"/>
      <c r="BP51" s="35"/>
      <c r="BQ51" s="35"/>
      <c r="BR51" s="35"/>
      <c r="BS51" s="35"/>
      <c r="BT51" s="35"/>
      <c r="BU51" s="35"/>
      <c r="BV51" s="35"/>
      <c r="BW51" s="35"/>
      <c r="BX51" s="35"/>
      <c r="BY51" s="35"/>
      <c r="BZ51" s="35"/>
      <c r="CA51" s="35"/>
      <c r="CB51" s="35"/>
      <c r="CC51" s="35"/>
      <c r="CD51" s="35"/>
      <c r="CE51" s="35"/>
      <c r="CF51" s="35"/>
      <c r="CG51" s="35"/>
      <c r="CH51" s="35"/>
      <c r="CI51" s="35"/>
      <c r="CJ51" s="35"/>
      <c r="CK51" s="35"/>
      <c r="CL51" s="35"/>
      <c r="CM51" s="35"/>
      <c r="CN51" s="35"/>
      <c r="CO51" s="35"/>
      <c r="CP51" s="35"/>
      <c r="CQ51" s="35"/>
      <c r="CR51" s="35"/>
      <c r="CS51" s="35"/>
      <c r="CT51" s="35"/>
      <c r="CU51" s="35"/>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c r="DV51" s="35"/>
      <c r="DW51" s="183"/>
    </row>
    <row r="52" spans="1:127" x14ac:dyDescent="0.3">
      <c r="B52" s="45"/>
      <c r="C52" s="45"/>
      <c r="D52" s="65" t="s">
        <v>71</v>
      </c>
      <c r="E52" s="45"/>
      <c r="F52" s="45"/>
      <c r="G52" s="282"/>
      <c r="H52" s="282"/>
      <c r="I52" s="282"/>
      <c r="J52" s="282"/>
      <c r="K52" s="282"/>
      <c r="L52" s="282"/>
      <c r="M52" s="282"/>
      <c r="N52" s="282"/>
      <c r="O52" s="282"/>
      <c r="P52" s="282"/>
      <c r="Q52" s="282"/>
      <c r="R52" s="282"/>
      <c r="S52" s="282"/>
      <c r="T52" s="282"/>
      <c r="U52" s="282"/>
      <c r="V52" s="282"/>
      <c r="W52" s="282"/>
      <c r="X52" s="282"/>
      <c r="Y52" s="282"/>
      <c r="Z52" s="282"/>
      <c r="AA52" s="282"/>
      <c r="AB52" s="282"/>
      <c r="AC52" s="282"/>
      <c r="AD52" s="282"/>
      <c r="AE52" s="282"/>
      <c r="AF52" s="282"/>
      <c r="AG52" s="282"/>
      <c r="AH52" s="282"/>
      <c r="AI52" s="282"/>
      <c r="AJ52" s="282"/>
      <c r="AK52" s="282"/>
      <c r="AL52" s="282"/>
      <c r="AM52" s="282"/>
      <c r="AN52" s="282"/>
      <c r="AO52" s="282"/>
      <c r="AP52" s="282"/>
      <c r="AQ52" s="282"/>
      <c r="AR52" s="282"/>
      <c r="AS52" s="282"/>
      <c r="AT52" s="282"/>
      <c r="AU52" s="282"/>
      <c r="AV52" s="282"/>
      <c r="AW52" s="282"/>
      <c r="AX52" s="282"/>
      <c r="AY52" s="282"/>
      <c r="AZ52" s="282"/>
      <c r="BA52" s="282"/>
      <c r="BB52" s="282"/>
      <c r="BC52" s="282"/>
      <c r="BD52" s="282"/>
      <c r="BE52" s="282"/>
      <c r="BF52" s="282"/>
      <c r="BG52" s="282"/>
      <c r="BH52" s="282"/>
      <c r="BI52" s="282"/>
      <c r="BJ52" s="282"/>
      <c r="BK52" s="282"/>
      <c r="BL52" s="282"/>
      <c r="BM52" s="282"/>
      <c r="BN52" s="282"/>
      <c r="BO52" s="282"/>
      <c r="BP52" s="282"/>
      <c r="BQ52" s="282"/>
      <c r="BR52" s="282"/>
      <c r="BS52" s="282"/>
      <c r="BT52" s="282"/>
      <c r="BU52" s="282"/>
      <c r="BV52" s="282"/>
      <c r="BW52" s="282"/>
      <c r="BX52" s="282"/>
      <c r="BY52" s="282"/>
      <c r="BZ52" s="282"/>
      <c r="CA52" s="282"/>
      <c r="CB52" s="282"/>
      <c r="CC52" s="282"/>
      <c r="CD52" s="282"/>
      <c r="CE52" s="282"/>
      <c r="CF52" s="282"/>
      <c r="CG52" s="282"/>
      <c r="CH52" s="282"/>
      <c r="CI52" s="282"/>
      <c r="CJ52" s="282"/>
      <c r="CK52" s="282"/>
      <c r="CL52" s="282"/>
      <c r="CM52" s="282"/>
      <c r="CN52" s="282"/>
      <c r="CO52" s="282"/>
      <c r="CP52" s="282"/>
      <c r="CQ52" s="282"/>
      <c r="CR52" s="282"/>
      <c r="CS52" s="282"/>
      <c r="CT52" s="282"/>
      <c r="CU52" s="282"/>
      <c r="CV52" s="282"/>
      <c r="CW52" s="282"/>
      <c r="CX52" s="282"/>
      <c r="CY52" s="282"/>
      <c r="CZ52" s="282"/>
      <c r="DA52" s="282"/>
      <c r="DB52" s="282"/>
      <c r="DC52" s="282"/>
      <c r="DD52" s="282"/>
      <c r="DE52" s="282"/>
      <c r="DF52" s="282"/>
      <c r="DG52" s="282"/>
      <c r="DH52" s="282"/>
      <c r="DI52" s="282"/>
      <c r="DJ52" s="282"/>
      <c r="DK52" s="282"/>
      <c r="DL52" s="282"/>
      <c r="DM52" s="282"/>
      <c r="DN52" s="282"/>
      <c r="DO52" s="282"/>
      <c r="DP52" s="282"/>
      <c r="DQ52" s="282"/>
      <c r="DR52" s="282"/>
      <c r="DS52" s="282"/>
      <c r="DT52" s="282"/>
      <c r="DU52" s="282"/>
      <c r="DV52" s="282"/>
      <c r="DW52" s="183"/>
    </row>
    <row r="53" spans="1:127" x14ac:dyDescent="0.3">
      <c r="B53" s="45"/>
      <c r="C53" s="45"/>
      <c r="D53" s="45"/>
      <c r="E53" s="65"/>
      <c r="F53" s="65"/>
      <c r="G53" s="276"/>
      <c r="H53" s="276"/>
      <c r="I53" s="276"/>
      <c r="J53" s="276"/>
      <c r="K53" s="276"/>
      <c r="L53" s="276"/>
      <c r="M53" s="276"/>
      <c r="N53" s="276"/>
      <c r="O53" s="276"/>
      <c r="P53" s="276"/>
      <c r="Q53" s="276"/>
      <c r="R53" s="276"/>
      <c r="S53" s="276"/>
      <c r="T53" s="276"/>
      <c r="U53" s="276"/>
      <c r="V53" s="276"/>
      <c r="W53" s="276"/>
      <c r="X53" s="276"/>
      <c r="Y53" s="276"/>
      <c r="Z53" s="276"/>
      <c r="AA53" s="276"/>
      <c r="AB53" s="276"/>
      <c r="AC53" s="276"/>
      <c r="AD53" s="276"/>
      <c r="AE53" s="276"/>
      <c r="AF53" s="276"/>
      <c r="AG53" s="276"/>
      <c r="AH53" s="276"/>
      <c r="AI53" s="276"/>
      <c r="AJ53" s="276"/>
      <c r="AK53" s="276"/>
      <c r="AL53" s="276"/>
      <c r="AM53" s="276"/>
      <c r="AN53" s="276"/>
      <c r="AO53" s="276"/>
      <c r="AP53" s="276"/>
      <c r="AQ53" s="276"/>
      <c r="AR53" s="276"/>
      <c r="AS53" s="276"/>
      <c r="AT53" s="276"/>
      <c r="AU53" s="276"/>
      <c r="AV53" s="276"/>
      <c r="AW53" s="276"/>
      <c r="AX53" s="276"/>
      <c r="AY53" s="276"/>
      <c r="AZ53" s="276"/>
      <c r="BA53" s="276"/>
      <c r="BB53" s="276"/>
      <c r="BC53" s="276"/>
      <c r="BD53" s="276"/>
      <c r="BE53" s="276"/>
      <c r="BF53" s="276"/>
      <c r="BG53" s="276"/>
      <c r="BH53" s="276"/>
      <c r="BI53" s="276"/>
      <c r="BJ53" s="276"/>
      <c r="BK53" s="276"/>
      <c r="BL53" s="276"/>
      <c r="BM53" s="276"/>
      <c r="BN53" s="276"/>
      <c r="BO53" s="276"/>
      <c r="BP53" s="276"/>
      <c r="BQ53" s="276"/>
      <c r="BR53" s="276"/>
      <c r="BS53" s="276"/>
      <c r="BT53" s="276"/>
      <c r="BU53" s="276"/>
      <c r="BV53" s="276"/>
      <c r="BW53" s="276"/>
      <c r="BX53" s="276"/>
      <c r="BY53" s="276"/>
      <c r="BZ53" s="276"/>
      <c r="CA53" s="276"/>
      <c r="CB53" s="276"/>
      <c r="CC53" s="276"/>
      <c r="CD53" s="276"/>
      <c r="CE53" s="276"/>
      <c r="CF53" s="276"/>
      <c r="CG53" s="276"/>
      <c r="CH53" s="276"/>
      <c r="CI53" s="276"/>
      <c r="CJ53" s="276"/>
      <c r="CK53" s="276"/>
      <c r="CL53" s="276"/>
      <c r="CM53" s="276"/>
      <c r="CN53" s="276"/>
      <c r="CO53" s="276"/>
      <c r="CP53" s="276"/>
      <c r="CQ53" s="276"/>
      <c r="CR53" s="276"/>
      <c r="CS53" s="276"/>
      <c r="CT53" s="276"/>
      <c r="CU53" s="276"/>
      <c r="CV53" s="276"/>
      <c r="CW53" s="276"/>
      <c r="CX53" s="276"/>
      <c r="CY53" s="276"/>
      <c r="CZ53" s="276"/>
      <c r="DA53" s="276"/>
      <c r="DB53" s="276"/>
      <c r="DC53" s="276"/>
      <c r="DD53" s="276"/>
      <c r="DE53" s="276"/>
      <c r="DF53" s="276"/>
      <c r="DG53" s="276"/>
      <c r="DH53" s="276"/>
      <c r="DI53" s="276"/>
      <c r="DJ53" s="276"/>
      <c r="DK53" s="276"/>
      <c r="DL53" s="276"/>
      <c r="DM53" s="276"/>
      <c r="DN53" s="276"/>
      <c r="DO53" s="276"/>
      <c r="DP53" s="276"/>
      <c r="DQ53" s="276"/>
      <c r="DR53" s="276"/>
      <c r="DS53" s="276"/>
      <c r="DT53" s="276"/>
      <c r="DU53" s="276"/>
      <c r="DV53" s="276"/>
      <c r="DW53" s="183"/>
    </row>
    <row r="54" spans="1:127" ht="17.399999999999999" customHeight="1" x14ac:dyDescent="0.3">
      <c r="A54" s="259" t="s">
        <v>92</v>
      </c>
      <c r="B54" s="57" t="s">
        <v>89</v>
      </c>
      <c r="C54" s="45"/>
      <c r="D54" s="38"/>
      <c r="E54" s="38" t="s">
        <v>179</v>
      </c>
      <c r="F54" s="38" t="str">
        <f t="shared" ref="F54:AK54" si="13">F33</f>
        <v>Total</v>
      </c>
      <c r="G54" s="284" t="str">
        <f t="shared" si="13"/>
        <v>21032CO0410001</v>
      </c>
      <c r="H54" s="284" t="str">
        <f t="shared" si="13"/>
        <v>21032CO0410011</v>
      </c>
      <c r="I54" s="284" t="str">
        <f t="shared" si="13"/>
        <v>21032CO0410010</v>
      </c>
      <c r="J54" s="284" t="str">
        <f t="shared" si="13"/>
        <v>21032CO0410037</v>
      </c>
      <c r="K54" s="284" t="str">
        <f t="shared" si="13"/>
        <v>21032CO0410028</v>
      </c>
      <c r="L54" s="284" t="str">
        <f t="shared" si="13"/>
        <v>21032CO0410002</v>
      </c>
      <c r="M54" s="284" t="str">
        <f t="shared" si="13"/>
        <v>21032CO0410013</v>
      </c>
      <c r="N54" s="284" t="str">
        <f t="shared" si="13"/>
        <v>21032CO0410012</v>
      </c>
      <c r="O54" s="284" t="str">
        <f t="shared" si="13"/>
        <v>21032CO0410038</v>
      </c>
      <c r="P54" s="284" t="str">
        <f t="shared" si="13"/>
        <v>21032CO0410029</v>
      </c>
      <c r="Q54" s="284" t="str">
        <f t="shared" si="13"/>
        <v>21032CO0410060</v>
      </c>
      <c r="R54" s="284" t="str">
        <f t="shared" si="13"/>
        <v>21032CO0410061</v>
      </c>
      <c r="S54" s="284" t="str">
        <f t="shared" si="13"/>
        <v>21032CO0410062</v>
      </c>
      <c r="T54" s="284" t="str">
        <f t="shared" si="13"/>
        <v>21032CO0410064</v>
      </c>
      <c r="U54" s="284" t="str">
        <f t="shared" si="13"/>
        <v>21032CO0410063</v>
      </c>
      <c r="V54" s="284" t="str">
        <f t="shared" si="13"/>
        <v>21032CO0410003</v>
      </c>
      <c r="W54" s="284" t="str">
        <f t="shared" si="13"/>
        <v>21032CO0410015</v>
      </c>
      <c r="X54" s="284" t="str">
        <f t="shared" si="13"/>
        <v>21032CO0410014</v>
      </c>
      <c r="Y54" s="284" t="str">
        <f t="shared" si="13"/>
        <v>21032CO0410039</v>
      </c>
      <c r="Z54" s="284" t="str">
        <f t="shared" si="13"/>
        <v>21032CO0410030</v>
      </c>
      <c r="AA54" s="284" t="str">
        <f t="shared" si="13"/>
        <v>21032CO0410004</v>
      </c>
      <c r="AB54" s="284" t="str">
        <f t="shared" si="13"/>
        <v>21032CO0410017</v>
      </c>
      <c r="AC54" s="284" t="str">
        <f t="shared" si="13"/>
        <v>21032CO0410016</v>
      </c>
      <c r="AD54" s="284" t="str">
        <f t="shared" si="13"/>
        <v>21032CO0410040</v>
      </c>
      <c r="AE54" s="284" t="str">
        <f t="shared" si="13"/>
        <v>21032CO0410031</v>
      </c>
      <c r="AF54" s="284" t="str">
        <f t="shared" si="13"/>
        <v>21032CO0410005</v>
      </c>
      <c r="AG54" s="284" t="str">
        <f t="shared" si="13"/>
        <v>21032CO0410019</v>
      </c>
      <c r="AH54" s="284" t="str">
        <f t="shared" si="13"/>
        <v>21032CO0410018</v>
      </c>
      <c r="AI54" s="284" t="str">
        <f t="shared" si="13"/>
        <v>21032CO0410041</v>
      </c>
      <c r="AJ54" s="284" t="str">
        <f t="shared" si="13"/>
        <v>21032CO0410032</v>
      </c>
      <c r="AK54" s="284" t="str">
        <f t="shared" si="13"/>
        <v>21032CO0410055</v>
      </c>
      <c r="AL54" s="284" t="str">
        <f t="shared" ref="AL54:BQ54" si="14">AL33</f>
        <v>21032CO0410056</v>
      </c>
      <c r="AM54" s="284" t="str">
        <f t="shared" si="14"/>
        <v>21032CO0410057</v>
      </c>
      <c r="AN54" s="284" t="str">
        <f t="shared" si="14"/>
        <v>21032CO0410059</v>
      </c>
      <c r="AO54" s="284" t="str">
        <f t="shared" si="14"/>
        <v>21032CO0410058</v>
      </c>
      <c r="AP54" s="284" t="str">
        <f t="shared" si="14"/>
        <v>21032CO0410008</v>
      </c>
      <c r="AQ54" s="284" t="str">
        <f t="shared" si="14"/>
        <v>21032CO0410025</v>
      </c>
      <c r="AR54" s="284" t="str">
        <f t="shared" si="14"/>
        <v>21032CO0410024</v>
      </c>
      <c r="AS54" s="284" t="str">
        <f t="shared" si="14"/>
        <v>21032CO0410042</v>
      </c>
      <c r="AT54" s="284" t="str">
        <f t="shared" si="14"/>
        <v>21032CO0410033</v>
      </c>
      <c r="AU54" s="284" t="str">
        <f t="shared" si="14"/>
        <v>21032CO0410007</v>
      </c>
      <c r="AV54" s="284" t="str">
        <f t="shared" si="14"/>
        <v>21032CO0410021</v>
      </c>
      <c r="AW54" s="284" t="str">
        <f t="shared" si="14"/>
        <v>21032CO0410020</v>
      </c>
      <c r="AX54" s="284" t="str">
        <f t="shared" si="14"/>
        <v>21032CO0410043</v>
      </c>
      <c r="AY54" s="284" t="str">
        <f t="shared" si="14"/>
        <v>21032CO0410035</v>
      </c>
      <c r="AZ54" s="284" t="str">
        <f t="shared" si="14"/>
        <v>21032CO0410044</v>
      </c>
      <c r="BA54" s="284" t="str">
        <f t="shared" si="14"/>
        <v>21032CO0410045</v>
      </c>
      <c r="BB54" s="284" t="str">
        <f t="shared" si="14"/>
        <v>21032CO0410046</v>
      </c>
      <c r="BC54" s="284" t="str">
        <f t="shared" si="14"/>
        <v>21032CO0410048</v>
      </c>
      <c r="BD54" s="284" t="str">
        <f t="shared" si="14"/>
        <v>21032CO0410047</v>
      </c>
      <c r="BE54" s="284" t="str">
        <f t="shared" si="14"/>
        <v>21032CO0410049</v>
      </c>
      <c r="BF54" s="284" t="str">
        <f t="shared" si="14"/>
        <v>21032CO0410050</v>
      </c>
      <c r="BG54" s="284" t="str">
        <f t="shared" si="14"/>
        <v>21032CO0410051</v>
      </c>
      <c r="BH54" s="284" t="str">
        <f t="shared" si="14"/>
        <v>21032CO0410053</v>
      </c>
      <c r="BI54" s="284" t="str">
        <f t="shared" si="14"/>
        <v>21032CO0410052</v>
      </c>
      <c r="BJ54" s="284" t="str">
        <f t="shared" si="14"/>
        <v>21032CO0410009</v>
      </c>
      <c r="BK54" s="284" t="str">
        <f t="shared" si="14"/>
        <v>21032CO0410027</v>
      </c>
      <c r="BL54" s="284" t="str">
        <f t="shared" si="14"/>
        <v>21032CO0410026</v>
      </c>
      <c r="BM54" s="284" t="str">
        <f t="shared" si="14"/>
        <v>21032CO0410054</v>
      </c>
      <c r="BN54" s="284" t="str">
        <f t="shared" si="14"/>
        <v>21032CO0410036</v>
      </c>
      <c r="BO54" s="284" t="str">
        <f t="shared" si="14"/>
        <v>21032CO0610001</v>
      </c>
      <c r="BP54" s="284" t="str">
        <f t="shared" si="14"/>
        <v>21032CO0610011</v>
      </c>
      <c r="BQ54" s="284" t="str">
        <f t="shared" si="14"/>
        <v>21032CO0610010</v>
      </c>
      <c r="BR54" s="284" t="str">
        <f t="shared" ref="BR54:CW54" si="15">BR33</f>
        <v>21032CO0610037</v>
      </c>
      <c r="BS54" s="284" t="str">
        <f t="shared" si="15"/>
        <v>21032CO0610028</v>
      </c>
      <c r="BT54" s="284" t="str">
        <f t="shared" si="15"/>
        <v>21032CO0610002</v>
      </c>
      <c r="BU54" s="284" t="str">
        <f t="shared" si="15"/>
        <v>21032CO0610013</v>
      </c>
      <c r="BV54" s="284" t="str">
        <f t="shared" si="15"/>
        <v>21032CO0610012</v>
      </c>
      <c r="BW54" s="284" t="str">
        <f t="shared" si="15"/>
        <v>21032CO0610038</v>
      </c>
      <c r="BX54" s="284" t="str">
        <f t="shared" si="15"/>
        <v>21032CO0610029</v>
      </c>
      <c r="BY54" s="284" t="str">
        <f t="shared" si="15"/>
        <v>21032CO0610060</v>
      </c>
      <c r="BZ54" s="284" t="str">
        <f t="shared" si="15"/>
        <v>21032CO0610061</v>
      </c>
      <c r="CA54" s="284" t="str">
        <f t="shared" si="15"/>
        <v>21032CO0610062</v>
      </c>
      <c r="CB54" s="284" t="str">
        <f t="shared" si="15"/>
        <v>21032CO0610064</v>
      </c>
      <c r="CC54" s="284" t="str">
        <f t="shared" si="15"/>
        <v>21032CO0610063</v>
      </c>
      <c r="CD54" s="284" t="str">
        <f t="shared" si="15"/>
        <v>21032CO0610003</v>
      </c>
      <c r="CE54" s="284" t="str">
        <f t="shared" si="15"/>
        <v>21032CO0610015</v>
      </c>
      <c r="CF54" s="284" t="str">
        <f t="shared" si="15"/>
        <v>21032CO0610014</v>
      </c>
      <c r="CG54" s="284" t="str">
        <f t="shared" si="15"/>
        <v>21032CO0610039</v>
      </c>
      <c r="CH54" s="284" t="str">
        <f t="shared" si="15"/>
        <v>21032CO0610030</v>
      </c>
      <c r="CI54" s="284" t="str">
        <f t="shared" si="15"/>
        <v>21032CO0610004</v>
      </c>
      <c r="CJ54" s="284" t="str">
        <f t="shared" si="15"/>
        <v>21032CO0610017</v>
      </c>
      <c r="CK54" s="284" t="str">
        <f t="shared" si="15"/>
        <v>21032CO0610016</v>
      </c>
      <c r="CL54" s="284" t="str">
        <f t="shared" si="15"/>
        <v>21032CO0610040</v>
      </c>
      <c r="CM54" s="284" t="str">
        <f t="shared" si="15"/>
        <v>21032CO0610031</v>
      </c>
      <c r="CN54" s="284" t="str">
        <f t="shared" si="15"/>
        <v>21032CO0610005</v>
      </c>
      <c r="CO54" s="284" t="str">
        <f t="shared" si="15"/>
        <v>21032CO0610019</v>
      </c>
      <c r="CP54" s="284" t="str">
        <f t="shared" si="15"/>
        <v>21032CO0610018</v>
      </c>
      <c r="CQ54" s="284" t="str">
        <f t="shared" si="15"/>
        <v>21032CO0610041</v>
      </c>
      <c r="CR54" s="284" t="str">
        <f t="shared" si="15"/>
        <v>21032CO0610032</v>
      </c>
      <c r="CS54" s="284" t="str">
        <f t="shared" si="15"/>
        <v>21032CO0610055</v>
      </c>
      <c r="CT54" s="284" t="str">
        <f t="shared" si="15"/>
        <v>21032CO0610056</v>
      </c>
      <c r="CU54" s="284" t="str">
        <f t="shared" si="15"/>
        <v>21032CO0610057</v>
      </c>
      <c r="CV54" s="284" t="str">
        <f t="shared" si="15"/>
        <v>21032CO0610059</v>
      </c>
      <c r="CW54" s="284" t="str">
        <f t="shared" si="15"/>
        <v>21032CO0610058</v>
      </c>
      <c r="CX54" s="284" t="str">
        <f t="shared" ref="CX54:DV54" si="16">CX33</f>
        <v>21032CO0610008</v>
      </c>
      <c r="CY54" s="284" t="str">
        <f t="shared" si="16"/>
        <v>21032CO0610025</v>
      </c>
      <c r="CZ54" s="284" t="str">
        <f t="shared" si="16"/>
        <v>21032CO0610024</v>
      </c>
      <c r="DA54" s="284" t="str">
        <f t="shared" si="16"/>
        <v>21032CO0610042</v>
      </c>
      <c r="DB54" s="284" t="str">
        <f t="shared" si="16"/>
        <v>21032CO0610033</v>
      </c>
      <c r="DC54" s="284" t="str">
        <f t="shared" si="16"/>
        <v>21032CO0610006</v>
      </c>
      <c r="DD54" s="284" t="str">
        <f t="shared" si="16"/>
        <v>21032CO0610021</v>
      </c>
      <c r="DE54" s="284" t="str">
        <f t="shared" si="16"/>
        <v>21032CO0610020</v>
      </c>
      <c r="DF54" s="284" t="str">
        <f t="shared" si="16"/>
        <v>21032CO0610043</v>
      </c>
      <c r="DG54" s="284" t="str">
        <f t="shared" si="16"/>
        <v>21032CO0610035</v>
      </c>
      <c r="DH54" s="284" t="str">
        <f t="shared" si="16"/>
        <v>21032CO0610044</v>
      </c>
      <c r="DI54" s="284" t="str">
        <f t="shared" si="16"/>
        <v>21032CO0610045</v>
      </c>
      <c r="DJ54" s="284" t="str">
        <f t="shared" si="16"/>
        <v>21032CO0610046</v>
      </c>
      <c r="DK54" s="284" t="str">
        <f t="shared" si="16"/>
        <v>21032CO0610048</v>
      </c>
      <c r="DL54" s="284" t="str">
        <f t="shared" si="16"/>
        <v>21032CO0610047</v>
      </c>
      <c r="DM54" s="284" t="str">
        <f t="shared" si="16"/>
        <v>21032CO0610049</v>
      </c>
      <c r="DN54" s="284" t="str">
        <f t="shared" si="16"/>
        <v>21032CO0610050</v>
      </c>
      <c r="DO54" s="284" t="str">
        <f t="shared" si="16"/>
        <v>21032CO0610051</v>
      </c>
      <c r="DP54" s="284" t="str">
        <f t="shared" si="16"/>
        <v>21032CO0610053</v>
      </c>
      <c r="DQ54" s="284" t="str">
        <f t="shared" si="16"/>
        <v>21032CO0610052</v>
      </c>
      <c r="DR54" s="284" t="str">
        <f t="shared" si="16"/>
        <v>21032CO0610009</v>
      </c>
      <c r="DS54" s="284" t="str">
        <f t="shared" si="16"/>
        <v>21032CO0610027</v>
      </c>
      <c r="DT54" s="284" t="str">
        <f t="shared" si="16"/>
        <v>21032CO0610026</v>
      </c>
      <c r="DU54" s="284" t="str">
        <f t="shared" si="16"/>
        <v>21032CO0610054</v>
      </c>
      <c r="DV54" s="284" t="str">
        <f t="shared" si="16"/>
        <v>21032CO0610036</v>
      </c>
      <c r="DW54" s="183"/>
    </row>
    <row r="55" spans="1:127" ht="14.4" customHeight="1" x14ac:dyDescent="0.3">
      <c r="A55" s="258"/>
      <c r="B55" s="373"/>
      <c r="C55" s="45"/>
      <c r="D55" s="377" t="s">
        <v>44</v>
      </c>
      <c r="E55" s="66" t="s">
        <v>187</v>
      </c>
      <c r="F55" s="354">
        <f>SUMPRODUCT(G55:DV55,G56:DV56)/SUM(G56:DV56)</f>
        <v>321.95628283465078</v>
      </c>
      <c r="G55" s="355">
        <v>420.97187341820273</v>
      </c>
      <c r="H55" s="355">
        <v>420.97187341820273</v>
      </c>
      <c r="I55" s="355">
        <v>420.97187341820273</v>
      </c>
      <c r="J55" s="355">
        <v>420.97187341820273</v>
      </c>
      <c r="K55" s="355">
        <v>383.18107893598415</v>
      </c>
      <c r="L55" s="355">
        <v>399.4399091201945</v>
      </c>
      <c r="M55" s="355">
        <v>399.4399091201945</v>
      </c>
      <c r="N55" s="355">
        <v>399.4399091201945</v>
      </c>
      <c r="O55" s="355">
        <v>399.4399091201945</v>
      </c>
      <c r="P55" s="355">
        <v>363.4068260092418</v>
      </c>
      <c r="Q55" s="355">
        <v>0</v>
      </c>
      <c r="R55" s="355">
        <v>0</v>
      </c>
      <c r="S55" s="355">
        <v>0</v>
      </c>
      <c r="T55" s="355">
        <v>0</v>
      </c>
      <c r="U55" s="355">
        <v>0</v>
      </c>
      <c r="V55" s="355">
        <v>351.98170209601295</v>
      </c>
      <c r="W55" s="355">
        <v>351.98170209601295</v>
      </c>
      <c r="X55" s="355">
        <v>351.98170209601295</v>
      </c>
      <c r="Y55" s="355">
        <v>351.98170209601295</v>
      </c>
      <c r="Z55" s="355">
        <v>320.34289741322527</v>
      </c>
      <c r="AA55" s="355">
        <v>348.9057071962975</v>
      </c>
      <c r="AB55" s="355">
        <v>348.9057071962975</v>
      </c>
      <c r="AC55" s="355">
        <v>348.9057071962975</v>
      </c>
      <c r="AD55" s="355">
        <v>348.9057071962975</v>
      </c>
      <c r="AE55" s="355">
        <v>317.26690251350976</v>
      </c>
      <c r="AF55" s="355">
        <v>331.32859348363769</v>
      </c>
      <c r="AG55" s="355">
        <v>331.32859348363769</v>
      </c>
      <c r="AH55" s="355">
        <v>331.32859348363769</v>
      </c>
      <c r="AI55" s="355">
        <v>331.32859348363769</v>
      </c>
      <c r="AJ55" s="355">
        <v>301.44750017211601</v>
      </c>
      <c r="AK55" s="355">
        <v>0</v>
      </c>
      <c r="AL55" s="355">
        <v>0</v>
      </c>
      <c r="AM55" s="355">
        <v>0</v>
      </c>
      <c r="AN55" s="355">
        <v>0</v>
      </c>
      <c r="AO55" s="355">
        <v>0</v>
      </c>
      <c r="AP55" s="355">
        <v>296.17436605831801</v>
      </c>
      <c r="AQ55" s="355">
        <v>296.17436605831801</v>
      </c>
      <c r="AR55" s="355">
        <v>296.17436605831801</v>
      </c>
      <c r="AS55" s="355">
        <v>296.17436605831801</v>
      </c>
      <c r="AT55" s="355">
        <v>269.36926764651179</v>
      </c>
      <c r="AU55" s="355">
        <v>274.20297391749324</v>
      </c>
      <c r="AV55" s="355">
        <v>274.20297391749324</v>
      </c>
      <c r="AW55" s="355">
        <v>274.20297391749324</v>
      </c>
      <c r="AX55" s="355">
        <v>274.20297391749324</v>
      </c>
      <c r="AY55" s="355">
        <v>249.59501471976947</v>
      </c>
      <c r="AZ55" s="355">
        <v>289.58294841607062</v>
      </c>
      <c r="BA55" s="355">
        <v>289.58294841607062</v>
      </c>
      <c r="BB55" s="355">
        <v>289.58294841607062</v>
      </c>
      <c r="BC55" s="355">
        <v>289.58294841607062</v>
      </c>
      <c r="BD55" s="355">
        <v>263.21727784708082</v>
      </c>
      <c r="BE55" s="355">
        <v>278.15782450284172</v>
      </c>
      <c r="BF55" s="355">
        <v>278.15782450284172</v>
      </c>
      <c r="BG55" s="355">
        <v>278.15782450284172</v>
      </c>
      <c r="BH55" s="355">
        <v>278.15782450284172</v>
      </c>
      <c r="BI55" s="355">
        <v>253.11043746230143</v>
      </c>
      <c r="BJ55" s="355">
        <v>259.70185510454888</v>
      </c>
      <c r="BK55" s="355">
        <v>259.70185510454888</v>
      </c>
      <c r="BL55" s="355">
        <v>259.70185510454888</v>
      </c>
      <c r="BM55" s="355">
        <v>259.70185510454888</v>
      </c>
      <c r="BN55" s="355">
        <v>236.41217943527462</v>
      </c>
      <c r="BO55" s="355">
        <v>420.97187341820273</v>
      </c>
      <c r="BP55" s="355">
        <v>420.97187341820273</v>
      </c>
      <c r="BQ55" s="355">
        <v>420.97187341820273</v>
      </c>
      <c r="BR55" s="355">
        <v>420.97187341820273</v>
      </c>
      <c r="BS55" s="355">
        <v>383.18107893598415</v>
      </c>
      <c r="BT55" s="355">
        <v>399.4399091201945</v>
      </c>
      <c r="BU55" s="355">
        <v>399.4399091201945</v>
      </c>
      <c r="BV55" s="355">
        <v>399.4399091201945</v>
      </c>
      <c r="BW55" s="355">
        <v>399.4399091201945</v>
      </c>
      <c r="BX55" s="355">
        <v>363.4068260092418</v>
      </c>
      <c r="BY55" s="355">
        <v>0</v>
      </c>
      <c r="BZ55" s="355">
        <v>0</v>
      </c>
      <c r="CA55" s="355">
        <v>0</v>
      </c>
      <c r="CB55" s="355">
        <v>0</v>
      </c>
      <c r="CC55" s="355">
        <v>0</v>
      </c>
      <c r="CD55" s="355">
        <v>351.98170209601295</v>
      </c>
      <c r="CE55" s="355">
        <v>351.98170209601295</v>
      </c>
      <c r="CF55" s="355">
        <v>351.98170209601295</v>
      </c>
      <c r="CG55" s="355">
        <v>351.98170209601295</v>
      </c>
      <c r="CH55" s="355">
        <v>320.34289741322527</v>
      </c>
      <c r="CI55" s="355">
        <v>348.9057071962975</v>
      </c>
      <c r="CJ55" s="355">
        <v>348.9057071962975</v>
      </c>
      <c r="CK55" s="355">
        <v>348.9057071962975</v>
      </c>
      <c r="CL55" s="355">
        <v>348.9057071962975</v>
      </c>
      <c r="CM55" s="355">
        <v>317.26690251350976</v>
      </c>
      <c r="CN55" s="355">
        <v>331.32859348363769</v>
      </c>
      <c r="CO55" s="355">
        <v>331.32859348363769</v>
      </c>
      <c r="CP55" s="355">
        <v>331.32859348363769</v>
      </c>
      <c r="CQ55" s="355">
        <v>331.32859348363769</v>
      </c>
      <c r="CR55" s="355">
        <v>301.44750017211601</v>
      </c>
      <c r="CS55" s="355">
        <v>0</v>
      </c>
      <c r="CT55" s="355">
        <v>0</v>
      </c>
      <c r="CU55" s="355">
        <v>0</v>
      </c>
      <c r="CV55" s="355">
        <v>0</v>
      </c>
      <c r="CW55" s="355">
        <v>0</v>
      </c>
      <c r="CX55" s="355">
        <v>296.17436605831801</v>
      </c>
      <c r="CY55" s="355">
        <v>296.17436605831801</v>
      </c>
      <c r="CZ55" s="355">
        <v>296.17436605831801</v>
      </c>
      <c r="DA55" s="355">
        <v>296.17436605831801</v>
      </c>
      <c r="DB55" s="355">
        <v>269.36926764651179</v>
      </c>
      <c r="DC55" s="355">
        <v>274.20297391749324</v>
      </c>
      <c r="DD55" s="355">
        <v>274.20297391749324</v>
      </c>
      <c r="DE55" s="355">
        <v>274.20297391749324</v>
      </c>
      <c r="DF55" s="355">
        <v>274.20297391749324</v>
      </c>
      <c r="DG55" s="355">
        <v>249.59501471976947</v>
      </c>
      <c r="DH55" s="355">
        <v>289.58294841607062</v>
      </c>
      <c r="DI55" s="355">
        <v>289.58294841607062</v>
      </c>
      <c r="DJ55" s="355">
        <v>289.58294841607062</v>
      </c>
      <c r="DK55" s="355">
        <v>289.58294841607062</v>
      </c>
      <c r="DL55" s="355">
        <v>263.21727784708082</v>
      </c>
      <c r="DM55" s="355">
        <v>278.15782450284172</v>
      </c>
      <c r="DN55" s="355">
        <v>278.15782450284172</v>
      </c>
      <c r="DO55" s="355">
        <v>278.15782450284172</v>
      </c>
      <c r="DP55" s="355">
        <v>278.15782450284172</v>
      </c>
      <c r="DQ55" s="355">
        <v>253.11043746230143</v>
      </c>
      <c r="DR55" s="355">
        <v>259.70185510454888</v>
      </c>
      <c r="DS55" s="355">
        <v>259.70185510454888</v>
      </c>
      <c r="DT55" s="355">
        <v>259.70185510454888</v>
      </c>
      <c r="DU55" s="355">
        <v>259.70185510454888</v>
      </c>
      <c r="DV55" s="355">
        <v>236.41217943527462</v>
      </c>
      <c r="DW55" s="183"/>
    </row>
    <row r="56" spans="1:127" ht="17.25" customHeight="1" x14ac:dyDescent="0.3">
      <c r="A56" s="258" t="str">
        <f>IF(ABS(B56/F56-1)&lt;0.02,"OK","WARNING")</f>
        <v>OK</v>
      </c>
      <c r="B56" s="67">
        <f>+'Wksh 1 - Market Experience'!F18</f>
        <v>1203203</v>
      </c>
      <c r="C56" s="45"/>
      <c r="D56" s="378"/>
      <c r="E56" s="68" t="s">
        <v>35</v>
      </c>
      <c r="F56" s="352">
        <f>SUM(G56:DV56)</f>
        <v>1203216</v>
      </c>
      <c r="G56" s="353">
        <v>31822</v>
      </c>
      <c r="H56" s="353">
        <v>4158</v>
      </c>
      <c r="I56" s="353">
        <v>546</v>
      </c>
      <c r="J56" s="353">
        <v>355</v>
      </c>
      <c r="K56" s="353">
        <v>3025</v>
      </c>
      <c r="L56" s="353">
        <v>15265</v>
      </c>
      <c r="M56" s="353">
        <v>3130</v>
      </c>
      <c r="N56" s="353">
        <v>524</v>
      </c>
      <c r="O56" s="353">
        <v>303</v>
      </c>
      <c r="P56" s="353">
        <v>1646</v>
      </c>
      <c r="Q56" s="353">
        <v>0</v>
      </c>
      <c r="R56" s="353">
        <v>0</v>
      </c>
      <c r="S56" s="353">
        <v>0</v>
      </c>
      <c r="T56" s="353">
        <v>0</v>
      </c>
      <c r="U56" s="353">
        <v>0</v>
      </c>
      <c r="V56" s="353">
        <v>58752</v>
      </c>
      <c r="W56" s="353">
        <v>10206</v>
      </c>
      <c r="X56" s="353">
        <v>1604</v>
      </c>
      <c r="Y56" s="353">
        <v>1459</v>
      </c>
      <c r="Z56" s="353">
        <v>4629</v>
      </c>
      <c r="AA56" s="353">
        <v>101395</v>
      </c>
      <c r="AB56" s="353">
        <v>19328</v>
      </c>
      <c r="AC56" s="353">
        <v>4328</v>
      </c>
      <c r="AD56" s="353">
        <v>2755</v>
      </c>
      <c r="AE56" s="353">
        <v>7735</v>
      </c>
      <c r="AF56" s="353">
        <v>67604</v>
      </c>
      <c r="AG56" s="353">
        <v>15024</v>
      </c>
      <c r="AH56" s="353">
        <v>2638</v>
      </c>
      <c r="AI56" s="353">
        <v>2559</v>
      </c>
      <c r="AJ56" s="353">
        <v>7177</v>
      </c>
      <c r="AK56" s="353">
        <v>0</v>
      </c>
      <c r="AL56" s="353">
        <v>0</v>
      </c>
      <c r="AM56" s="353">
        <v>0</v>
      </c>
      <c r="AN56" s="353">
        <v>0</v>
      </c>
      <c r="AO56" s="353">
        <v>0</v>
      </c>
      <c r="AP56" s="353">
        <v>18016</v>
      </c>
      <c r="AQ56" s="353">
        <v>3699</v>
      </c>
      <c r="AR56" s="353">
        <v>761</v>
      </c>
      <c r="AS56" s="353">
        <v>514</v>
      </c>
      <c r="AT56" s="353">
        <v>1144</v>
      </c>
      <c r="AU56" s="353">
        <v>144798</v>
      </c>
      <c r="AV56" s="353">
        <v>38782</v>
      </c>
      <c r="AW56" s="353">
        <v>4523</v>
      </c>
      <c r="AX56" s="353">
        <v>7061</v>
      </c>
      <c r="AY56" s="353">
        <v>21042</v>
      </c>
      <c r="AZ56" s="353">
        <v>17079</v>
      </c>
      <c r="BA56" s="353">
        <v>3931</v>
      </c>
      <c r="BB56" s="353">
        <v>991</v>
      </c>
      <c r="BC56" s="353">
        <v>961</v>
      </c>
      <c r="BD56" s="353">
        <v>1891</v>
      </c>
      <c r="BE56" s="353">
        <v>32299</v>
      </c>
      <c r="BF56" s="353">
        <v>7342</v>
      </c>
      <c r="BG56" s="353">
        <v>904</v>
      </c>
      <c r="BH56" s="353">
        <v>3270</v>
      </c>
      <c r="BI56" s="353">
        <v>4068</v>
      </c>
      <c r="BJ56" s="353">
        <v>4682</v>
      </c>
      <c r="BK56" s="353">
        <v>1528</v>
      </c>
      <c r="BL56" s="353">
        <v>0</v>
      </c>
      <c r="BM56" s="353">
        <v>181</v>
      </c>
      <c r="BN56" s="353">
        <v>215</v>
      </c>
      <c r="BO56" s="353">
        <v>77685</v>
      </c>
      <c r="BP56" s="353">
        <v>6909</v>
      </c>
      <c r="BQ56" s="353">
        <v>458</v>
      </c>
      <c r="BR56" s="353">
        <v>521</v>
      </c>
      <c r="BS56" s="353">
        <v>5606</v>
      </c>
      <c r="BT56" s="353">
        <v>21179</v>
      </c>
      <c r="BU56" s="353">
        <v>3636</v>
      </c>
      <c r="BV56" s="353">
        <v>302</v>
      </c>
      <c r="BW56" s="353">
        <v>69</v>
      </c>
      <c r="BX56" s="353">
        <v>2642</v>
      </c>
      <c r="BY56" s="353">
        <v>0</v>
      </c>
      <c r="BZ56" s="353">
        <v>0</v>
      </c>
      <c r="CA56" s="353">
        <v>0</v>
      </c>
      <c r="CB56" s="353">
        <v>0</v>
      </c>
      <c r="CC56" s="353">
        <v>0</v>
      </c>
      <c r="CD56" s="353">
        <v>60971</v>
      </c>
      <c r="CE56" s="353">
        <v>7416</v>
      </c>
      <c r="CF56" s="353">
        <v>470</v>
      </c>
      <c r="CG56" s="353">
        <v>461</v>
      </c>
      <c r="CH56" s="353">
        <v>4351</v>
      </c>
      <c r="CI56" s="353">
        <v>42098</v>
      </c>
      <c r="CJ56" s="353">
        <v>7409</v>
      </c>
      <c r="CK56" s="353">
        <v>642</v>
      </c>
      <c r="CL56" s="353">
        <v>533</v>
      </c>
      <c r="CM56" s="353">
        <v>3162</v>
      </c>
      <c r="CN56" s="353">
        <v>18739</v>
      </c>
      <c r="CO56" s="353">
        <v>4713</v>
      </c>
      <c r="CP56" s="353">
        <v>270</v>
      </c>
      <c r="CQ56" s="353">
        <v>325</v>
      </c>
      <c r="CR56" s="353">
        <v>1868</v>
      </c>
      <c r="CS56" s="353">
        <v>0</v>
      </c>
      <c r="CT56" s="353">
        <v>0</v>
      </c>
      <c r="CU56" s="353">
        <v>0</v>
      </c>
      <c r="CV56" s="353">
        <v>0</v>
      </c>
      <c r="CW56" s="353">
        <v>0</v>
      </c>
      <c r="CX56" s="353">
        <v>26227</v>
      </c>
      <c r="CY56" s="353">
        <v>3568</v>
      </c>
      <c r="CZ56" s="353">
        <v>163</v>
      </c>
      <c r="DA56" s="353">
        <v>224</v>
      </c>
      <c r="DB56" s="353">
        <v>1211</v>
      </c>
      <c r="DC56" s="353">
        <v>93197</v>
      </c>
      <c r="DD56" s="353">
        <v>32298</v>
      </c>
      <c r="DE56" s="353">
        <v>1732</v>
      </c>
      <c r="DF56" s="353">
        <v>3451</v>
      </c>
      <c r="DG56" s="353">
        <v>14713</v>
      </c>
      <c r="DH56" s="353">
        <v>15078</v>
      </c>
      <c r="DI56" s="353">
        <v>4482</v>
      </c>
      <c r="DJ56" s="353">
        <v>272</v>
      </c>
      <c r="DK56" s="353">
        <v>725</v>
      </c>
      <c r="DL56" s="353">
        <v>1420</v>
      </c>
      <c r="DM56" s="353">
        <v>21871</v>
      </c>
      <c r="DN56" s="353">
        <v>5693</v>
      </c>
      <c r="DO56" s="353">
        <v>362</v>
      </c>
      <c r="DP56" s="353">
        <v>1014</v>
      </c>
      <c r="DQ56" s="353">
        <v>3369</v>
      </c>
      <c r="DR56" s="353">
        <v>8947</v>
      </c>
      <c r="DS56" s="353">
        <v>2378</v>
      </c>
      <c r="DT56" s="353">
        <v>85</v>
      </c>
      <c r="DU56" s="353">
        <v>131</v>
      </c>
      <c r="DV56" s="353">
        <v>521</v>
      </c>
      <c r="DW56" s="183"/>
    </row>
    <row r="57" spans="1:127" ht="15" customHeight="1" x14ac:dyDescent="0.3">
      <c r="A57" s="258" t="str">
        <f>IF(ABS(B57/F57-1)&lt;0.05,"OK","WARNING")</f>
        <v>OK</v>
      </c>
      <c r="B57" s="69">
        <f>+'Wksh 1 - Market Experience'!F14</f>
        <v>375730105.00999999</v>
      </c>
      <c r="C57" s="45"/>
      <c r="D57" s="378"/>
      <c r="E57" s="70" t="s">
        <v>46</v>
      </c>
      <c r="F57" s="346">
        <f>SUM(G57:DV57)</f>
        <v>375572144.59999996</v>
      </c>
      <c r="G57" s="370">
        <v>11191320.100000001</v>
      </c>
      <c r="H57" s="370">
        <v>1528146.2800000003</v>
      </c>
      <c r="I57" s="370">
        <v>289410.72000000009</v>
      </c>
      <c r="J57" s="370">
        <v>182923.84000000003</v>
      </c>
      <c r="K57" s="370">
        <v>1082826.7000000002</v>
      </c>
      <c r="L57" s="370">
        <v>5685440.2300000004</v>
      </c>
      <c r="M57" s="370">
        <v>1272715.0500000003</v>
      </c>
      <c r="N57" s="370">
        <v>321913.76</v>
      </c>
      <c r="O57" s="370">
        <v>140961.29</v>
      </c>
      <c r="P57" s="370">
        <v>661238.75</v>
      </c>
      <c r="Q57" s="370">
        <v>0</v>
      </c>
      <c r="R57" s="370">
        <v>0</v>
      </c>
      <c r="S57" s="370">
        <v>0</v>
      </c>
      <c r="T57" s="370">
        <v>0</v>
      </c>
      <c r="U57" s="370">
        <v>0</v>
      </c>
      <c r="V57" s="370">
        <v>20541963.550000001</v>
      </c>
      <c r="W57" s="370">
        <v>3874373.3700000006</v>
      </c>
      <c r="X57" s="370">
        <v>814906.01</v>
      </c>
      <c r="Y57" s="370">
        <v>570252.56000000017</v>
      </c>
      <c r="Z57" s="370">
        <v>1654054.01</v>
      </c>
      <c r="AA57" s="370">
        <v>37541064.939999998</v>
      </c>
      <c r="AB57" s="370">
        <v>7753644.6200000001</v>
      </c>
      <c r="AC57" s="370">
        <v>2253816.5699999998</v>
      </c>
      <c r="AD57" s="370">
        <v>1168600.99</v>
      </c>
      <c r="AE57" s="370">
        <v>2552472.9500000002</v>
      </c>
      <c r="AF57" s="370">
        <v>23615936.899999999</v>
      </c>
      <c r="AG57" s="370">
        <v>5653737.8600000013</v>
      </c>
      <c r="AH57" s="370">
        <v>1345442.5499999998</v>
      </c>
      <c r="AI57" s="370">
        <v>1147956.71</v>
      </c>
      <c r="AJ57" s="370">
        <v>2490798.6300000004</v>
      </c>
      <c r="AK57" s="370">
        <v>0</v>
      </c>
      <c r="AL57" s="370">
        <v>0</v>
      </c>
      <c r="AM57" s="370">
        <v>0</v>
      </c>
      <c r="AN57" s="370">
        <v>0</v>
      </c>
      <c r="AO57" s="370">
        <v>0</v>
      </c>
      <c r="AP57" s="370">
        <v>5831615.6899999995</v>
      </c>
      <c r="AQ57" s="370">
        <v>1274793.7500000005</v>
      </c>
      <c r="AR57" s="370">
        <v>343878.84999999992</v>
      </c>
      <c r="AS57" s="370">
        <v>190374.76</v>
      </c>
      <c r="AT57" s="370">
        <v>395682.16</v>
      </c>
      <c r="AU57" s="370">
        <v>39408117.469999999</v>
      </c>
      <c r="AV57" s="370">
        <v>11379666.140000002</v>
      </c>
      <c r="AW57" s="370">
        <v>1675290.5400000003</v>
      </c>
      <c r="AX57" s="370">
        <v>2338143.06</v>
      </c>
      <c r="AY57" s="370">
        <v>5832039.7600000016</v>
      </c>
      <c r="AZ57" s="370">
        <v>4751102.7599999988</v>
      </c>
      <c r="BA57" s="370">
        <v>1220621.19</v>
      </c>
      <c r="BB57" s="370">
        <v>410167.67999999982</v>
      </c>
      <c r="BC57" s="370">
        <v>360952.56999999995</v>
      </c>
      <c r="BD57" s="370">
        <v>547522.35</v>
      </c>
      <c r="BE57" s="370">
        <v>8506743.9100000001</v>
      </c>
      <c r="BF57" s="370">
        <v>1937018.3699999999</v>
      </c>
      <c r="BG57" s="370">
        <v>317092.43999999994</v>
      </c>
      <c r="BH57" s="370">
        <v>1023842.8500000002</v>
      </c>
      <c r="BI57" s="370">
        <v>1172465.1800000002</v>
      </c>
      <c r="BJ57" s="370">
        <v>730639.24</v>
      </c>
      <c r="BK57" s="370">
        <v>242519.47000000003</v>
      </c>
      <c r="BL57" s="370">
        <v>0</v>
      </c>
      <c r="BM57" s="370">
        <v>43168.040000000008</v>
      </c>
      <c r="BN57" s="370">
        <v>30874.920000000006</v>
      </c>
      <c r="BO57" s="370">
        <v>24695470.879999992</v>
      </c>
      <c r="BP57" s="370">
        <v>2235145.8699999996</v>
      </c>
      <c r="BQ57" s="370">
        <v>171895.56999999998</v>
      </c>
      <c r="BR57" s="370">
        <v>229939.7</v>
      </c>
      <c r="BS57" s="370">
        <v>1769348.6199999999</v>
      </c>
      <c r="BT57" s="370">
        <v>7144197.290000001</v>
      </c>
      <c r="BU57" s="370">
        <v>1240973.7399999998</v>
      </c>
      <c r="BV57" s="370">
        <v>144375.87000000002</v>
      </c>
      <c r="BW57" s="370">
        <v>29193.510000000002</v>
      </c>
      <c r="BX57" s="370">
        <v>917409.66999999993</v>
      </c>
      <c r="BY57" s="370">
        <v>0</v>
      </c>
      <c r="BZ57" s="370">
        <v>0</v>
      </c>
      <c r="CA57" s="370">
        <v>0</v>
      </c>
      <c r="CB57" s="370">
        <v>0</v>
      </c>
      <c r="CC57" s="370">
        <v>0</v>
      </c>
      <c r="CD57" s="370">
        <v>17801144.369999997</v>
      </c>
      <c r="CE57" s="370">
        <v>2231514.88</v>
      </c>
      <c r="CF57" s="370">
        <v>168495.95999999996</v>
      </c>
      <c r="CG57" s="370">
        <v>187990.94999999995</v>
      </c>
      <c r="CH57" s="370">
        <v>1229488.1100000001</v>
      </c>
      <c r="CI57" s="370">
        <v>12762716.360000001</v>
      </c>
      <c r="CJ57" s="370">
        <v>2226190.6999999997</v>
      </c>
      <c r="CK57" s="370">
        <v>247535.04000000004</v>
      </c>
      <c r="CL57" s="370">
        <v>159582.11999999997</v>
      </c>
      <c r="CM57" s="370">
        <v>988596.11000000034</v>
      </c>
      <c r="CN57" s="370">
        <v>5752577.9100000001</v>
      </c>
      <c r="CO57" s="370">
        <v>1445281.58</v>
      </c>
      <c r="CP57" s="370">
        <v>91539.719999999987</v>
      </c>
      <c r="CQ57" s="370">
        <v>130899.19999999998</v>
      </c>
      <c r="CR57" s="370">
        <v>544720.77</v>
      </c>
      <c r="CS57" s="370">
        <v>0</v>
      </c>
      <c r="CT57" s="370">
        <v>0</v>
      </c>
      <c r="CU57" s="370">
        <v>0</v>
      </c>
      <c r="CV57" s="370">
        <v>0</v>
      </c>
      <c r="CW57" s="370">
        <v>0</v>
      </c>
      <c r="CX57" s="370">
        <v>7233325.379999998</v>
      </c>
      <c r="CY57" s="370">
        <v>997174.47999999986</v>
      </c>
      <c r="CZ57" s="370">
        <v>71602.039999999994</v>
      </c>
      <c r="DA57" s="370">
        <v>59259.539999999994</v>
      </c>
      <c r="DB57" s="370">
        <v>337603.80999999994</v>
      </c>
      <c r="DC57" s="370">
        <v>25553143.430000007</v>
      </c>
      <c r="DD57" s="370">
        <v>9181027.0100000016</v>
      </c>
      <c r="DE57" s="370">
        <v>632002.27</v>
      </c>
      <c r="DF57" s="370">
        <v>1236794.3</v>
      </c>
      <c r="DG57" s="370">
        <v>3988380.61</v>
      </c>
      <c r="DH57" s="370">
        <v>4000268.78</v>
      </c>
      <c r="DI57" s="370">
        <v>1210660.9600000004</v>
      </c>
      <c r="DJ57" s="370">
        <v>89103.69</v>
      </c>
      <c r="DK57" s="370">
        <v>242239.66999999998</v>
      </c>
      <c r="DL57" s="370">
        <v>396744.60999999993</v>
      </c>
      <c r="DM57" s="370">
        <v>5612088.6900000004</v>
      </c>
      <c r="DN57" s="370">
        <v>1565984.9499999997</v>
      </c>
      <c r="DO57" s="370">
        <v>128435.65999999999</v>
      </c>
      <c r="DP57" s="370">
        <v>340415.58999999997</v>
      </c>
      <c r="DQ57" s="370">
        <v>835019.87999999989</v>
      </c>
      <c r="DR57" s="370">
        <v>1503301.29</v>
      </c>
      <c r="DS57" s="370">
        <v>388012.75</v>
      </c>
      <c r="DT57" s="370">
        <v>16614.559999999998</v>
      </c>
      <c r="DU57" s="370">
        <v>30128.179999999997</v>
      </c>
      <c r="DV57" s="370">
        <v>76335.88</v>
      </c>
      <c r="DW57" s="183"/>
    </row>
    <row r="58" spans="1:127" ht="29.25" customHeight="1" x14ac:dyDescent="0.3">
      <c r="B58" s="71"/>
      <c r="C58" s="45"/>
      <c r="D58" s="378"/>
      <c r="E58" s="72" t="s">
        <v>188</v>
      </c>
      <c r="F58" s="350">
        <f>SUMPRODUCT($G$57:$DV$57,G58:DV58)/$F$57</f>
        <v>0.99429455647233012</v>
      </c>
      <c r="G58" s="269">
        <v>0.99380000000000002</v>
      </c>
      <c r="H58" s="269">
        <v>0.99380000000000002</v>
      </c>
      <c r="I58" s="269">
        <v>0.99380000000000002</v>
      </c>
      <c r="J58" s="269">
        <v>0.99380000000000002</v>
      </c>
      <c r="K58" s="269">
        <v>0.99360000000000004</v>
      </c>
      <c r="L58" s="269">
        <v>0.99370000000000003</v>
      </c>
      <c r="M58" s="269">
        <v>0.99370000000000003</v>
      </c>
      <c r="N58" s="269">
        <v>0.99370000000000003</v>
      </c>
      <c r="O58" s="269">
        <v>0.99370000000000003</v>
      </c>
      <c r="P58" s="269">
        <v>0.99339999999999995</v>
      </c>
      <c r="Q58" s="269">
        <v>1</v>
      </c>
      <c r="R58" s="269">
        <v>1</v>
      </c>
      <c r="S58" s="269">
        <v>1</v>
      </c>
      <c r="T58" s="269">
        <v>1</v>
      </c>
      <c r="U58" s="269">
        <v>1</v>
      </c>
      <c r="V58" s="269">
        <v>0.99339999999999995</v>
      </c>
      <c r="W58" s="269">
        <v>0.99339999999999995</v>
      </c>
      <c r="X58" s="269">
        <v>0.99339999999999995</v>
      </c>
      <c r="Y58" s="269">
        <v>0.99339999999999995</v>
      </c>
      <c r="Z58" s="269">
        <v>0.99309999999999998</v>
      </c>
      <c r="AA58" s="269">
        <v>0.99329999999999996</v>
      </c>
      <c r="AB58" s="269">
        <v>0.99329999999999996</v>
      </c>
      <c r="AC58" s="269">
        <v>0.99329999999999996</v>
      </c>
      <c r="AD58" s="269">
        <v>0.99329999999999996</v>
      </c>
      <c r="AE58" s="269">
        <v>0.99299999999999999</v>
      </c>
      <c r="AF58" s="269">
        <v>0.99319999999999997</v>
      </c>
      <c r="AG58" s="269">
        <v>0.99319999999999997</v>
      </c>
      <c r="AH58" s="269">
        <v>0.99319999999999997</v>
      </c>
      <c r="AI58" s="269">
        <v>0.99319999999999997</v>
      </c>
      <c r="AJ58" s="269">
        <v>0.9929</v>
      </c>
      <c r="AK58" s="269">
        <v>1</v>
      </c>
      <c r="AL58" s="269">
        <v>1</v>
      </c>
      <c r="AM58" s="269">
        <v>1</v>
      </c>
      <c r="AN58" s="269">
        <v>1</v>
      </c>
      <c r="AO58" s="269">
        <v>1</v>
      </c>
      <c r="AP58" s="269">
        <v>0.99280000000000002</v>
      </c>
      <c r="AQ58" s="269">
        <v>0.99280000000000002</v>
      </c>
      <c r="AR58" s="269">
        <v>0.99280000000000002</v>
      </c>
      <c r="AS58" s="269">
        <v>0.99280000000000002</v>
      </c>
      <c r="AT58" s="269">
        <v>0.99250000000000005</v>
      </c>
      <c r="AU58" s="269">
        <v>0.99250000000000005</v>
      </c>
      <c r="AV58" s="269">
        <v>0.99250000000000005</v>
      </c>
      <c r="AW58" s="269">
        <v>0.99250000000000005</v>
      </c>
      <c r="AX58" s="269">
        <v>0.99250000000000005</v>
      </c>
      <c r="AY58" s="269">
        <v>0.99219999999999997</v>
      </c>
      <c r="AZ58" s="269">
        <v>0.99270000000000003</v>
      </c>
      <c r="BA58" s="269">
        <v>0.99270000000000003</v>
      </c>
      <c r="BB58" s="269">
        <v>0.99270000000000003</v>
      </c>
      <c r="BC58" s="269">
        <v>0.99270000000000003</v>
      </c>
      <c r="BD58" s="269">
        <v>0.99239999999999995</v>
      </c>
      <c r="BE58" s="269">
        <v>0.99260000000000004</v>
      </c>
      <c r="BF58" s="269">
        <v>0.99260000000000004</v>
      </c>
      <c r="BG58" s="269">
        <v>0.99260000000000004</v>
      </c>
      <c r="BH58" s="269">
        <v>0.99260000000000004</v>
      </c>
      <c r="BI58" s="269">
        <v>0.99219999999999997</v>
      </c>
      <c r="BJ58" s="269">
        <v>0.99229999999999996</v>
      </c>
      <c r="BK58" s="269">
        <v>0.99229999999999996</v>
      </c>
      <c r="BL58" s="269">
        <v>1</v>
      </c>
      <c r="BM58" s="269">
        <v>0.99229999999999996</v>
      </c>
      <c r="BN58" s="269">
        <v>0.99199999999999999</v>
      </c>
      <c r="BO58" s="269">
        <v>0.99619999999999997</v>
      </c>
      <c r="BP58" s="269">
        <v>0.99619999999999997</v>
      </c>
      <c r="BQ58" s="269">
        <v>0.99619999999999997</v>
      </c>
      <c r="BR58" s="269">
        <v>0.99619999999999997</v>
      </c>
      <c r="BS58" s="269">
        <v>0.99619999999999997</v>
      </c>
      <c r="BT58" s="269">
        <v>0.99619999999999997</v>
      </c>
      <c r="BU58" s="269">
        <v>0.99619999999999997</v>
      </c>
      <c r="BV58" s="269">
        <v>0.99619999999999997</v>
      </c>
      <c r="BW58" s="269">
        <v>0.99619999999999997</v>
      </c>
      <c r="BX58" s="269">
        <v>0.99619999999999997</v>
      </c>
      <c r="BY58" s="269">
        <v>1</v>
      </c>
      <c r="BZ58" s="269">
        <v>1</v>
      </c>
      <c r="CA58" s="269">
        <v>1</v>
      </c>
      <c r="CB58" s="269">
        <v>1</v>
      </c>
      <c r="CC58" s="269">
        <v>1</v>
      </c>
      <c r="CD58" s="269">
        <v>0.99619999999999997</v>
      </c>
      <c r="CE58" s="269">
        <v>0.99619999999999997</v>
      </c>
      <c r="CF58" s="269">
        <v>0.99619999999999997</v>
      </c>
      <c r="CG58" s="269">
        <v>0.99619999999999997</v>
      </c>
      <c r="CH58" s="269">
        <v>0.99619999999999997</v>
      </c>
      <c r="CI58" s="269">
        <v>0.99619999999999997</v>
      </c>
      <c r="CJ58" s="269">
        <v>0.99619999999999997</v>
      </c>
      <c r="CK58" s="269">
        <v>0.99619999999999997</v>
      </c>
      <c r="CL58" s="269">
        <v>0.99619999999999997</v>
      </c>
      <c r="CM58" s="269">
        <v>0.99619999999999997</v>
      </c>
      <c r="CN58" s="269">
        <v>0.99619999999999997</v>
      </c>
      <c r="CO58" s="269">
        <v>0.99619999999999997</v>
      </c>
      <c r="CP58" s="269">
        <v>0.99619999999999997</v>
      </c>
      <c r="CQ58" s="269">
        <v>0.99619999999999997</v>
      </c>
      <c r="CR58" s="269">
        <v>0.99619999999999997</v>
      </c>
      <c r="CS58" s="269">
        <v>1</v>
      </c>
      <c r="CT58" s="269">
        <v>1</v>
      </c>
      <c r="CU58" s="269">
        <v>1</v>
      </c>
      <c r="CV58" s="269">
        <v>1</v>
      </c>
      <c r="CW58" s="269">
        <v>1</v>
      </c>
      <c r="CX58" s="269">
        <v>0.99619999999999997</v>
      </c>
      <c r="CY58" s="269">
        <v>0.99619999999999997</v>
      </c>
      <c r="CZ58" s="269">
        <v>0.99619999999999997</v>
      </c>
      <c r="DA58" s="269">
        <v>0.99619999999999997</v>
      </c>
      <c r="DB58" s="269">
        <v>0.99619999999999997</v>
      </c>
      <c r="DC58" s="269">
        <v>0.99619999999999997</v>
      </c>
      <c r="DD58" s="269">
        <v>0.99619999999999997</v>
      </c>
      <c r="DE58" s="269">
        <v>0.99619999999999997</v>
      </c>
      <c r="DF58" s="269">
        <v>0.99619999999999997</v>
      </c>
      <c r="DG58" s="269">
        <v>0.99619999999999997</v>
      </c>
      <c r="DH58" s="269">
        <v>0.99619999999999997</v>
      </c>
      <c r="DI58" s="269">
        <v>0.99619999999999997</v>
      </c>
      <c r="DJ58" s="269">
        <v>0.99619999999999997</v>
      </c>
      <c r="DK58" s="269">
        <v>0.99619999999999997</v>
      </c>
      <c r="DL58" s="269">
        <v>0.99619999999999997</v>
      </c>
      <c r="DM58" s="269">
        <v>0.99619999999999997</v>
      </c>
      <c r="DN58" s="269">
        <v>0.99619999999999997</v>
      </c>
      <c r="DO58" s="269">
        <v>0.99619999999999997</v>
      </c>
      <c r="DP58" s="269">
        <v>0.99619999999999997</v>
      </c>
      <c r="DQ58" s="269">
        <v>0.99619999999999997</v>
      </c>
      <c r="DR58" s="269">
        <v>0.99619999999999997</v>
      </c>
      <c r="DS58" s="269">
        <v>0.99619999999999997</v>
      </c>
      <c r="DT58" s="269">
        <v>0.99619999999999997</v>
      </c>
      <c r="DU58" s="269">
        <v>0.99619999999999997</v>
      </c>
      <c r="DV58" s="269">
        <v>0.99619999999999997</v>
      </c>
      <c r="DW58" s="183"/>
    </row>
    <row r="59" spans="1:127" ht="29.25" customHeight="1" x14ac:dyDescent="0.3">
      <c r="B59" s="71"/>
      <c r="C59" s="45"/>
      <c r="D59" s="378"/>
      <c r="E59" s="72" t="s">
        <v>66</v>
      </c>
      <c r="F59" s="350">
        <f>SUMPRODUCT($G$57:$DV$57,G59:DV59)/$F$57</f>
        <v>0</v>
      </c>
      <c r="G59" s="269">
        <v>0</v>
      </c>
      <c r="H59" s="269">
        <v>0</v>
      </c>
      <c r="I59" s="269">
        <v>0</v>
      </c>
      <c r="J59" s="269">
        <v>0</v>
      </c>
      <c r="K59" s="269">
        <v>0</v>
      </c>
      <c r="L59" s="269">
        <v>0</v>
      </c>
      <c r="M59" s="269">
        <v>0</v>
      </c>
      <c r="N59" s="269">
        <v>0</v>
      </c>
      <c r="O59" s="269">
        <v>0</v>
      </c>
      <c r="P59" s="269">
        <v>0</v>
      </c>
      <c r="Q59" s="269">
        <v>0</v>
      </c>
      <c r="R59" s="269">
        <v>0</v>
      </c>
      <c r="S59" s="269">
        <v>0</v>
      </c>
      <c r="T59" s="269">
        <v>0</v>
      </c>
      <c r="U59" s="269">
        <v>0</v>
      </c>
      <c r="V59" s="269">
        <v>0</v>
      </c>
      <c r="W59" s="269">
        <v>0</v>
      </c>
      <c r="X59" s="269">
        <v>0</v>
      </c>
      <c r="Y59" s="269">
        <v>0</v>
      </c>
      <c r="Z59" s="269">
        <v>0</v>
      </c>
      <c r="AA59" s="269">
        <v>0</v>
      </c>
      <c r="AB59" s="269">
        <v>0</v>
      </c>
      <c r="AC59" s="269">
        <v>0</v>
      </c>
      <c r="AD59" s="269">
        <v>0</v>
      </c>
      <c r="AE59" s="269">
        <v>0</v>
      </c>
      <c r="AF59" s="269">
        <v>0</v>
      </c>
      <c r="AG59" s="269">
        <v>0</v>
      </c>
      <c r="AH59" s="269">
        <v>0</v>
      </c>
      <c r="AI59" s="269">
        <v>0</v>
      </c>
      <c r="AJ59" s="269">
        <v>0</v>
      </c>
      <c r="AK59" s="269">
        <v>0</v>
      </c>
      <c r="AL59" s="269">
        <v>0</v>
      </c>
      <c r="AM59" s="269">
        <v>0</v>
      </c>
      <c r="AN59" s="269">
        <v>0</v>
      </c>
      <c r="AO59" s="269">
        <v>0</v>
      </c>
      <c r="AP59" s="269">
        <v>0</v>
      </c>
      <c r="AQ59" s="269">
        <v>0</v>
      </c>
      <c r="AR59" s="269">
        <v>0</v>
      </c>
      <c r="AS59" s="269">
        <v>0</v>
      </c>
      <c r="AT59" s="269">
        <v>0</v>
      </c>
      <c r="AU59" s="269">
        <v>0</v>
      </c>
      <c r="AV59" s="269">
        <v>0</v>
      </c>
      <c r="AW59" s="269">
        <v>0</v>
      </c>
      <c r="AX59" s="269">
        <v>0</v>
      </c>
      <c r="AY59" s="269">
        <v>0</v>
      </c>
      <c r="AZ59" s="269">
        <v>0</v>
      </c>
      <c r="BA59" s="269">
        <v>0</v>
      </c>
      <c r="BB59" s="269">
        <v>0</v>
      </c>
      <c r="BC59" s="269">
        <v>0</v>
      </c>
      <c r="BD59" s="269">
        <v>0</v>
      </c>
      <c r="BE59" s="269">
        <v>0</v>
      </c>
      <c r="BF59" s="269">
        <v>0</v>
      </c>
      <c r="BG59" s="269">
        <v>0</v>
      </c>
      <c r="BH59" s="269">
        <v>0</v>
      </c>
      <c r="BI59" s="269">
        <v>0</v>
      </c>
      <c r="BJ59" s="269">
        <v>0</v>
      </c>
      <c r="BK59" s="269">
        <v>0</v>
      </c>
      <c r="BL59" s="269">
        <v>0</v>
      </c>
      <c r="BM59" s="269">
        <v>0</v>
      </c>
      <c r="BN59" s="269">
        <v>0</v>
      </c>
      <c r="BO59" s="269">
        <v>0</v>
      </c>
      <c r="BP59" s="269">
        <v>0</v>
      </c>
      <c r="BQ59" s="269">
        <v>0</v>
      </c>
      <c r="BR59" s="269">
        <v>0</v>
      </c>
      <c r="BS59" s="269">
        <v>0</v>
      </c>
      <c r="BT59" s="269">
        <v>0</v>
      </c>
      <c r="BU59" s="269">
        <v>0</v>
      </c>
      <c r="BV59" s="269">
        <v>0</v>
      </c>
      <c r="BW59" s="269">
        <v>0</v>
      </c>
      <c r="BX59" s="269">
        <v>0</v>
      </c>
      <c r="BY59" s="269">
        <v>0</v>
      </c>
      <c r="BZ59" s="269">
        <v>0</v>
      </c>
      <c r="CA59" s="269">
        <v>0</v>
      </c>
      <c r="CB59" s="269">
        <v>0</v>
      </c>
      <c r="CC59" s="269">
        <v>0</v>
      </c>
      <c r="CD59" s="269">
        <v>0</v>
      </c>
      <c r="CE59" s="269">
        <v>0</v>
      </c>
      <c r="CF59" s="269">
        <v>0</v>
      </c>
      <c r="CG59" s="269">
        <v>0</v>
      </c>
      <c r="CH59" s="269">
        <v>0</v>
      </c>
      <c r="CI59" s="269">
        <v>0</v>
      </c>
      <c r="CJ59" s="269">
        <v>0</v>
      </c>
      <c r="CK59" s="269">
        <v>0</v>
      </c>
      <c r="CL59" s="269">
        <v>0</v>
      </c>
      <c r="CM59" s="269">
        <v>0</v>
      </c>
      <c r="CN59" s="269">
        <v>0</v>
      </c>
      <c r="CO59" s="269">
        <v>0</v>
      </c>
      <c r="CP59" s="269">
        <v>0</v>
      </c>
      <c r="CQ59" s="269">
        <v>0</v>
      </c>
      <c r="CR59" s="269">
        <v>0</v>
      </c>
      <c r="CS59" s="269">
        <v>0</v>
      </c>
      <c r="CT59" s="269">
        <v>0</v>
      </c>
      <c r="CU59" s="269">
        <v>0</v>
      </c>
      <c r="CV59" s="269">
        <v>0</v>
      </c>
      <c r="CW59" s="269">
        <v>0</v>
      </c>
      <c r="CX59" s="269">
        <v>0</v>
      </c>
      <c r="CY59" s="269">
        <v>0</v>
      </c>
      <c r="CZ59" s="269">
        <v>0</v>
      </c>
      <c r="DA59" s="269">
        <v>0</v>
      </c>
      <c r="DB59" s="269">
        <v>0</v>
      </c>
      <c r="DC59" s="269">
        <v>0</v>
      </c>
      <c r="DD59" s="269">
        <v>0</v>
      </c>
      <c r="DE59" s="269">
        <v>0</v>
      </c>
      <c r="DF59" s="269">
        <v>0</v>
      </c>
      <c r="DG59" s="269">
        <v>0</v>
      </c>
      <c r="DH59" s="269">
        <v>0</v>
      </c>
      <c r="DI59" s="269">
        <v>0</v>
      </c>
      <c r="DJ59" s="269">
        <v>0</v>
      </c>
      <c r="DK59" s="269">
        <v>0</v>
      </c>
      <c r="DL59" s="269">
        <v>0</v>
      </c>
      <c r="DM59" s="269">
        <v>0</v>
      </c>
      <c r="DN59" s="269">
        <v>0</v>
      </c>
      <c r="DO59" s="269">
        <v>0</v>
      </c>
      <c r="DP59" s="269">
        <v>0</v>
      </c>
      <c r="DQ59" s="269">
        <v>0</v>
      </c>
      <c r="DR59" s="269">
        <v>0</v>
      </c>
      <c r="DS59" s="269">
        <v>0</v>
      </c>
      <c r="DT59" s="269">
        <v>0</v>
      </c>
      <c r="DU59" s="269">
        <v>0</v>
      </c>
      <c r="DV59" s="269">
        <v>0</v>
      </c>
      <c r="DW59" s="183"/>
    </row>
    <row r="60" spans="1:127" ht="17.25" customHeight="1" x14ac:dyDescent="0.3">
      <c r="B60" s="71"/>
      <c r="C60" s="45"/>
      <c r="D60" s="378"/>
      <c r="E60" s="72" t="s">
        <v>67</v>
      </c>
      <c r="F60" s="350">
        <f>1-F58-F59</f>
        <v>5.7054435276698845E-3</v>
      </c>
      <c r="G60" s="270">
        <f t="shared" ref="G60:AL60" si="17">1-G59-G58</f>
        <v>6.1999999999999833E-3</v>
      </c>
      <c r="H60" s="270">
        <f t="shared" si="17"/>
        <v>6.1999999999999833E-3</v>
      </c>
      <c r="I60" s="270">
        <f t="shared" si="17"/>
        <v>6.1999999999999833E-3</v>
      </c>
      <c r="J60" s="270">
        <f t="shared" si="17"/>
        <v>6.1999999999999833E-3</v>
      </c>
      <c r="K60" s="270">
        <f t="shared" si="17"/>
        <v>6.3999999999999613E-3</v>
      </c>
      <c r="L60" s="270">
        <f t="shared" si="17"/>
        <v>6.2999999999999723E-3</v>
      </c>
      <c r="M60" s="270">
        <f t="shared" si="17"/>
        <v>6.2999999999999723E-3</v>
      </c>
      <c r="N60" s="270">
        <f t="shared" si="17"/>
        <v>6.2999999999999723E-3</v>
      </c>
      <c r="O60" s="270">
        <f t="shared" si="17"/>
        <v>6.2999999999999723E-3</v>
      </c>
      <c r="P60" s="270">
        <f t="shared" si="17"/>
        <v>6.6000000000000503E-3</v>
      </c>
      <c r="Q60" s="270">
        <f t="shared" si="17"/>
        <v>0</v>
      </c>
      <c r="R60" s="270">
        <f t="shared" si="17"/>
        <v>0</v>
      </c>
      <c r="S60" s="270">
        <f t="shared" si="17"/>
        <v>0</v>
      </c>
      <c r="T60" s="270">
        <f t="shared" si="17"/>
        <v>0</v>
      </c>
      <c r="U60" s="270">
        <f t="shared" si="17"/>
        <v>0</v>
      </c>
      <c r="V60" s="270">
        <f t="shared" si="17"/>
        <v>6.6000000000000503E-3</v>
      </c>
      <c r="W60" s="270">
        <f t="shared" si="17"/>
        <v>6.6000000000000503E-3</v>
      </c>
      <c r="X60" s="270">
        <f t="shared" si="17"/>
        <v>6.6000000000000503E-3</v>
      </c>
      <c r="Y60" s="270">
        <f t="shared" si="17"/>
        <v>6.6000000000000503E-3</v>
      </c>
      <c r="Z60" s="270">
        <f t="shared" si="17"/>
        <v>6.9000000000000172E-3</v>
      </c>
      <c r="AA60" s="270">
        <f t="shared" si="17"/>
        <v>6.7000000000000393E-3</v>
      </c>
      <c r="AB60" s="270">
        <f t="shared" si="17"/>
        <v>6.7000000000000393E-3</v>
      </c>
      <c r="AC60" s="270">
        <f t="shared" si="17"/>
        <v>6.7000000000000393E-3</v>
      </c>
      <c r="AD60" s="270">
        <f t="shared" si="17"/>
        <v>6.7000000000000393E-3</v>
      </c>
      <c r="AE60" s="270">
        <f t="shared" si="17"/>
        <v>7.0000000000000062E-3</v>
      </c>
      <c r="AF60" s="270">
        <f t="shared" si="17"/>
        <v>6.8000000000000282E-3</v>
      </c>
      <c r="AG60" s="270">
        <f t="shared" si="17"/>
        <v>6.8000000000000282E-3</v>
      </c>
      <c r="AH60" s="270">
        <f t="shared" si="17"/>
        <v>6.8000000000000282E-3</v>
      </c>
      <c r="AI60" s="270">
        <f t="shared" si="17"/>
        <v>6.8000000000000282E-3</v>
      </c>
      <c r="AJ60" s="270">
        <f t="shared" si="17"/>
        <v>7.0999999999999952E-3</v>
      </c>
      <c r="AK60" s="270">
        <f t="shared" si="17"/>
        <v>0</v>
      </c>
      <c r="AL60" s="270">
        <f t="shared" si="17"/>
        <v>0</v>
      </c>
      <c r="AM60" s="270">
        <f t="shared" ref="AM60:BR60" si="18">1-AM59-AM58</f>
        <v>0</v>
      </c>
      <c r="AN60" s="270">
        <f t="shared" si="18"/>
        <v>0</v>
      </c>
      <c r="AO60" s="270">
        <f t="shared" si="18"/>
        <v>0</v>
      </c>
      <c r="AP60" s="270">
        <f t="shared" si="18"/>
        <v>7.1999999999999842E-3</v>
      </c>
      <c r="AQ60" s="270">
        <f t="shared" si="18"/>
        <v>7.1999999999999842E-3</v>
      </c>
      <c r="AR60" s="270">
        <f t="shared" si="18"/>
        <v>7.1999999999999842E-3</v>
      </c>
      <c r="AS60" s="270">
        <f t="shared" si="18"/>
        <v>7.1999999999999842E-3</v>
      </c>
      <c r="AT60" s="270">
        <f t="shared" si="18"/>
        <v>7.4999999999999512E-3</v>
      </c>
      <c r="AU60" s="270">
        <f t="shared" si="18"/>
        <v>7.4999999999999512E-3</v>
      </c>
      <c r="AV60" s="270">
        <f t="shared" si="18"/>
        <v>7.4999999999999512E-3</v>
      </c>
      <c r="AW60" s="270">
        <f t="shared" si="18"/>
        <v>7.4999999999999512E-3</v>
      </c>
      <c r="AX60" s="270">
        <f t="shared" si="18"/>
        <v>7.4999999999999512E-3</v>
      </c>
      <c r="AY60" s="270">
        <f t="shared" si="18"/>
        <v>7.8000000000000291E-3</v>
      </c>
      <c r="AZ60" s="270">
        <f t="shared" si="18"/>
        <v>7.2999999999999732E-3</v>
      </c>
      <c r="BA60" s="270">
        <f t="shared" si="18"/>
        <v>7.2999999999999732E-3</v>
      </c>
      <c r="BB60" s="270">
        <f t="shared" si="18"/>
        <v>7.2999999999999732E-3</v>
      </c>
      <c r="BC60" s="270">
        <f t="shared" si="18"/>
        <v>7.2999999999999732E-3</v>
      </c>
      <c r="BD60" s="270">
        <f t="shared" si="18"/>
        <v>7.6000000000000512E-3</v>
      </c>
      <c r="BE60" s="270">
        <f t="shared" si="18"/>
        <v>7.3999999999999622E-3</v>
      </c>
      <c r="BF60" s="270">
        <f t="shared" si="18"/>
        <v>7.3999999999999622E-3</v>
      </c>
      <c r="BG60" s="270">
        <f t="shared" si="18"/>
        <v>7.3999999999999622E-3</v>
      </c>
      <c r="BH60" s="270">
        <f t="shared" si="18"/>
        <v>7.3999999999999622E-3</v>
      </c>
      <c r="BI60" s="270">
        <f t="shared" si="18"/>
        <v>7.8000000000000291E-3</v>
      </c>
      <c r="BJ60" s="270">
        <f t="shared" si="18"/>
        <v>7.7000000000000401E-3</v>
      </c>
      <c r="BK60" s="270">
        <f t="shared" si="18"/>
        <v>7.7000000000000401E-3</v>
      </c>
      <c r="BL60" s="270">
        <f t="shared" si="18"/>
        <v>0</v>
      </c>
      <c r="BM60" s="270">
        <f t="shared" si="18"/>
        <v>7.7000000000000401E-3</v>
      </c>
      <c r="BN60" s="270">
        <f t="shared" si="18"/>
        <v>8.0000000000000071E-3</v>
      </c>
      <c r="BO60" s="270">
        <f t="shared" si="18"/>
        <v>3.8000000000000256E-3</v>
      </c>
      <c r="BP60" s="270">
        <f t="shared" si="18"/>
        <v>3.8000000000000256E-3</v>
      </c>
      <c r="BQ60" s="270">
        <f t="shared" si="18"/>
        <v>3.8000000000000256E-3</v>
      </c>
      <c r="BR60" s="270">
        <f t="shared" si="18"/>
        <v>3.8000000000000256E-3</v>
      </c>
      <c r="BS60" s="270">
        <f t="shared" ref="BS60:CX60" si="19">1-BS59-BS58</f>
        <v>3.8000000000000256E-3</v>
      </c>
      <c r="BT60" s="270">
        <f t="shared" si="19"/>
        <v>3.8000000000000256E-3</v>
      </c>
      <c r="BU60" s="270">
        <f t="shared" si="19"/>
        <v>3.8000000000000256E-3</v>
      </c>
      <c r="BV60" s="270">
        <f t="shared" si="19"/>
        <v>3.8000000000000256E-3</v>
      </c>
      <c r="BW60" s="270">
        <f t="shared" si="19"/>
        <v>3.8000000000000256E-3</v>
      </c>
      <c r="BX60" s="270">
        <f t="shared" si="19"/>
        <v>3.8000000000000256E-3</v>
      </c>
      <c r="BY60" s="270">
        <f t="shared" si="19"/>
        <v>0</v>
      </c>
      <c r="BZ60" s="270">
        <f t="shared" si="19"/>
        <v>0</v>
      </c>
      <c r="CA60" s="270">
        <f t="shared" si="19"/>
        <v>0</v>
      </c>
      <c r="CB60" s="270">
        <f t="shared" si="19"/>
        <v>0</v>
      </c>
      <c r="CC60" s="270">
        <f t="shared" si="19"/>
        <v>0</v>
      </c>
      <c r="CD60" s="270">
        <f t="shared" si="19"/>
        <v>3.8000000000000256E-3</v>
      </c>
      <c r="CE60" s="270">
        <f t="shared" si="19"/>
        <v>3.8000000000000256E-3</v>
      </c>
      <c r="CF60" s="270">
        <f t="shared" si="19"/>
        <v>3.8000000000000256E-3</v>
      </c>
      <c r="CG60" s="270">
        <f t="shared" si="19"/>
        <v>3.8000000000000256E-3</v>
      </c>
      <c r="CH60" s="270">
        <f t="shared" si="19"/>
        <v>3.8000000000000256E-3</v>
      </c>
      <c r="CI60" s="270">
        <f t="shared" si="19"/>
        <v>3.8000000000000256E-3</v>
      </c>
      <c r="CJ60" s="270">
        <f t="shared" si="19"/>
        <v>3.8000000000000256E-3</v>
      </c>
      <c r="CK60" s="270">
        <f t="shared" si="19"/>
        <v>3.8000000000000256E-3</v>
      </c>
      <c r="CL60" s="270">
        <f t="shared" si="19"/>
        <v>3.8000000000000256E-3</v>
      </c>
      <c r="CM60" s="270">
        <f t="shared" si="19"/>
        <v>3.8000000000000256E-3</v>
      </c>
      <c r="CN60" s="270">
        <f t="shared" si="19"/>
        <v>3.8000000000000256E-3</v>
      </c>
      <c r="CO60" s="270">
        <f t="shared" si="19"/>
        <v>3.8000000000000256E-3</v>
      </c>
      <c r="CP60" s="270">
        <f t="shared" si="19"/>
        <v>3.8000000000000256E-3</v>
      </c>
      <c r="CQ60" s="270">
        <f t="shared" si="19"/>
        <v>3.8000000000000256E-3</v>
      </c>
      <c r="CR60" s="270">
        <f t="shared" si="19"/>
        <v>3.8000000000000256E-3</v>
      </c>
      <c r="CS60" s="270">
        <f t="shared" si="19"/>
        <v>0</v>
      </c>
      <c r="CT60" s="270">
        <f t="shared" si="19"/>
        <v>0</v>
      </c>
      <c r="CU60" s="270">
        <f t="shared" si="19"/>
        <v>0</v>
      </c>
      <c r="CV60" s="270">
        <f t="shared" si="19"/>
        <v>0</v>
      </c>
      <c r="CW60" s="270">
        <f t="shared" si="19"/>
        <v>0</v>
      </c>
      <c r="CX60" s="270">
        <f t="shared" si="19"/>
        <v>3.8000000000000256E-3</v>
      </c>
      <c r="CY60" s="270">
        <f t="shared" ref="CY60:DV60" si="20">1-CY59-CY58</f>
        <v>3.8000000000000256E-3</v>
      </c>
      <c r="CZ60" s="270">
        <f t="shared" si="20"/>
        <v>3.8000000000000256E-3</v>
      </c>
      <c r="DA60" s="270">
        <f t="shared" si="20"/>
        <v>3.8000000000000256E-3</v>
      </c>
      <c r="DB60" s="270">
        <f t="shared" si="20"/>
        <v>3.8000000000000256E-3</v>
      </c>
      <c r="DC60" s="270">
        <f t="shared" si="20"/>
        <v>3.8000000000000256E-3</v>
      </c>
      <c r="DD60" s="270">
        <f t="shared" si="20"/>
        <v>3.8000000000000256E-3</v>
      </c>
      <c r="DE60" s="270">
        <f t="shared" si="20"/>
        <v>3.8000000000000256E-3</v>
      </c>
      <c r="DF60" s="270">
        <f t="shared" si="20"/>
        <v>3.8000000000000256E-3</v>
      </c>
      <c r="DG60" s="270">
        <f t="shared" si="20"/>
        <v>3.8000000000000256E-3</v>
      </c>
      <c r="DH60" s="270">
        <f t="shared" si="20"/>
        <v>3.8000000000000256E-3</v>
      </c>
      <c r="DI60" s="270">
        <f t="shared" si="20"/>
        <v>3.8000000000000256E-3</v>
      </c>
      <c r="DJ60" s="270">
        <f t="shared" si="20"/>
        <v>3.8000000000000256E-3</v>
      </c>
      <c r="DK60" s="270">
        <f t="shared" si="20"/>
        <v>3.8000000000000256E-3</v>
      </c>
      <c r="DL60" s="270">
        <f t="shared" si="20"/>
        <v>3.8000000000000256E-3</v>
      </c>
      <c r="DM60" s="270">
        <f t="shared" si="20"/>
        <v>3.8000000000000256E-3</v>
      </c>
      <c r="DN60" s="270">
        <f t="shared" si="20"/>
        <v>3.8000000000000256E-3</v>
      </c>
      <c r="DO60" s="270">
        <f t="shared" si="20"/>
        <v>3.8000000000000256E-3</v>
      </c>
      <c r="DP60" s="270">
        <f t="shared" si="20"/>
        <v>3.8000000000000256E-3</v>
      </c>
      <c r="DQ60" s="270">
        <f t="shared" si="20"/>
        <v>3.8000000000000256E-3</v>
      </c>
      <c r="DR60" s="270">
        <f t="shared" si="20"/>
        <v>3.8000000000000256E-3</v>
      </c>
      <c r="DS60" s="270">
        <f t="shared" si="20"/>
        <v>3.8000000000000256E-3</v>
      </c>
      <c r="DT60" s="270">
        <f t="shared" si="20"/>
        <v>3.8000000000000256E-3</v>
      </c>
      <c r="DU60" s="270">
        <f t="shared" si="20"/>
        <v>3.8000000000000256E-3</v>
      </c>
      <c r="DV60" s="270">
        <f t="shared" si="20"/>
        <v>3.8000000000000256E-3</v>
      </c>
      <c r="DW60" s="183"/>
    </row>
    <row r="61" spans="1:127" x14ac:dyDescent="0.3">
      <c r="A61" s="258" t="str">
        <f>IF(ABS(B61/F61-1)&lt;0.1,"OK","WARNING")</f>
        <v>OK</v>
      </c>
      <c r="B61" s="69">
        <f>+'Wksh 1 - Market Experience'!F16</f>
        <v>431637043.72330147</v>
      </c>
      <c r="C61" s="45"/>
      <c r="D61" s="377" t="s">
        <v>45</v>
      </c>
      <c r="E61" s="73" t="s">
        <v>68</v>
      </c>
      <c r="F61" s="346">
        <f>SUM(G61:DV61)</f>
        <v>431885435.93174148</v>
      </c>
      <c r="G61" s="347">
        <v>20335708.07028487</v>
      </c>
      <c r="H61" s="347">
        <v>2385546.8183956007</v>
      </c>
      <c r="I61" s="347">
        <v>496878.52681655809</v>
      </c>
      <c r="J61" s="347">
        <v>358578.19794052868</v>
      </c>
      <c r="K61" s="347">
        <v>2128065.7569151111</v>
      </c>
      <c r="L61" s="347">
        <v>10987090.895466972</v>
      </c>
      <c r="M61" s="347">
        <v>3188479.4655815349</v>
      </c>
      <c r="N61" s="347">
        <v>1001950.1295028189</v>
      </c>
      <c r="O61" s="347">
        <v>221535.41836004209</v>
      </c>
      <c r="P61" s="347">
        <v>835838.08542359713</v>
      </c>
      <c r="Q61" s="347">
        <v>0</v>
      </c>
      <c r="R61" s="347">
        <v>0</v>
      </c>
      <c r="S61" s="347">
        <v>0</v>
      </c>
      <c r="T61" s="347">
        <v>0</v>
      </c>
      <c r="U61" s="347">
        <v>0</v>
      </c>
      <c r="V61" s="347">
        <v>23515806.408777062</v>
      </c>
      <c r="W61" s="347">
        <v>3546429.749108552</v>
      </c>
      <c r="X61" s="347">
        <v>816639.97342720861</v>
      </c>
      <c r="Y61" s="347">
        <v>991924.90914272633</v>
      </c>
      <c r="Z61" s="347">
        <v>3324990.6624320671</v>
      </c>
      <c r="AA61" s="347">
        <v>42389035.473215975</v>
      </c>
      <c r="AB61" s="347">
        <v>8861955.4858793654</v>
      </c>
      <c r="AC61" s="347">
        <v>2840804.781891257</v>
      </c>
      <c r="AD61" s="347">
        <v>1257141.0801407169</v>
      </c>
      <c r="AE61" s="347">
        <v>3307070.6707916069</v>
      </c>
      <c r="AF61" s="347">
        <v>26596838.124646436</v>
      </c>
      <c r="AG61" s="347">
        <v>9432158.8666182552</v>
      </c>
      <c r="AH61" s="347">
        <v>1640207.1207058635</v>
      </c>
      <c r="AI61" s="347">
        <v>1004167.9710524769</v>
      </c>
      <c r="AJ61" s="347">
        <v>4802418.922206725</v>
      </c>
      <c r="AK61" s="347">
        <v>0</v>
      </c>
      <c r="AL61" s="347">
        <v>0</v>
      </c>
      <c r="AM61" s="347">
        <v>0</v>
      </c>
      <c r="AN61" s="347">
        <v>0</v>
      </c>
      <c r="AO61" s="347">
        <v>0</v>
      </c>
      <c r="AP61" s="347">
        <v>4432295.5772661092</v>
      </c>
      <c r="AQ61" s="347">
        <v>1317419.9769487849</v>
      </c>
      <c r="AR61" s="347">
        <v>284624.09378379345</v>
      </c>
      <c r="AS61" s="347">
        <v>219170.99175536973</v>
      </c>
      <c r="AT61" s="347">
        <v>233931.92010825549</v>
      </c>
      <c r="AU61" s="347">
        <v>33320063.942190036</v>
      </c>
      <c r="AV61" s="347">
        <v>8182991.3147763023</v>
      </c>
      <c r="AW61" s="347">
        <v>1653023.423833336</v>
      </c>
      <c r="AX61" s="347">
        <v>2340614.6150966943</v>
      </c>
      <c r="AY61" s="347">
        <v>5807799.1200023843</v>
      </c>
      <c r="AZ61" s="347">
        <v>3766652.9422461162</v>
      </c>
      <c r="BA61" s="347">
        <v>932189.66757183603</v>
      </c>
      <c r="BB61" s="347">
        <v>468267.75284473499</v>
      </c>
      <c r="BC61" s="347">
        <v>534874.44947139081</v>
      </c>
      <c r="BD61" s="347">
        <v>763591.82149939635</v>
      </c>
      <c r="BE61" s="347">
        <v>6058031.6723026438</v>
      </c>
      <c r="BF61" s="347">
        <v>1333388.0706377474</v>
      </c>
      <c r="BG61" s="347">
        <v>191970.69632335135</v>
      </c>
      <c r="BH61" s="347">
        <v>654898.53395243571</v>
      </c>
      <c r="BI61" s="347">
        <v>752245.24049827701</v>
      </c>
      <c r="BJ61" s="347">
        <v>457797.39731034177</v>
      </c>
      <c r="BK61" s="347">
        <v>158297.46816280702</v>
      </c>
      <c r="BL61" s="347">
        <v>2.8388219686073244</v>
      </c>
      <c r="BM61" s="347">
        <v>12858.817486952779</v>
      </c>
      <c r="BN61" s="347">
        <v>20895.5410103711</v>
      </c>
      <c r="BO61" s="347">
        <v>49988965.242479853</v>
      </c>
      <c r="BP61" s="347">
        <v>3485699.7205752018</v>
      </c>
      <c r="BQ61" s="347">
        <v>402928.66319067072</v>
      </c>
      <c r="BR61" s="347">
        <v>432040.54006843822</v>
      </c>
      <c r="BS61" s="347">
        <v>2915526.8362296103</v>
      </c>
      <c r="BT61" s="347">
        <v>12093817.262978161</v>
      </c>
      <c r="BU61" s="347">
        <v>2633050.9310797872</v>
      </c>
      <c r="BV61" s="347">
        <v>153426.46927883785</v>
      </c>
      <c r="BW61" s="347">
        <v>64950.457518007075</v>
      </c>
      <c r="BX61" s="347">
        <v>1662680.465276954</v>
      </c>
      <c r="BY61" s="347">
        <v>0</v>
      </c>
      <c r="BZ61" s="347">
        <v>0</v>
      </c>
      <c r="CA61" s="347">
        <v>0</v>
      </c>
      <c r="CB61" s="347">
        <v>0</v>
      </c>
      <c r="CC61" s="347">
        <v>0</v>
      </c>
      <c r="CD61" s="347">
        <v>21517392.962581865</v>
      </c>
      <c r="CE61" s="347">
        <v>2253483.1076402105</v>
      </c>
      <c r="CF61" s="347">
        <v>188963.37897999125</v>
      </c>
      <c r="CG61" s="347">
        <v>213368.76065195401</v>
      </c>
      <c r="CH61" s="347">
        <v>1224013.5457930064</v>
      </c>
      <c r="CI61" s="347">
        <v>16492908.829167923</v>
      </c>
      <c r="CJ61" s="347">
        <v>2967788.9548993777</v>
      </c>
      <c r="CK61" s="347">
        <v>176317.45402600899</v>
      </c>
      <c r="CL61" s="347">
        <v>184708.75680547702</v>
      </c>
      <c r="CM61" s="347">
        <v>906646.76966690342</v>
      </c>
      <c r="CN61" s="347">
        <v>7843387.3253712179</v>
      </c>
      <c r="CO61" s="347">
        <v>1927781.0876196441</v>
      </c>
      <c r="CP61" s="347">
        <v>42964.379895823578</v>
      </c>
      <c r="CQ61" s="347">
        <v>282996.27385198901</v>
      </c>
      <c r="CR61" s="347">
        <v>520155.59046031721</v>
      </c>
      <c r="CS61" s="347">
        <v>0</v>
      </c>
      <c r="CT61" s="347">
        <v>0</v>
      </c>
      <c r="CU61" s="347">
        <v>0</v>
      </c>
      <c r="CV61" s="347">
        <v>0</v>
      </c>
      <c r="CW61" s="347">
        <v>0</v>
      </c>
      <c r="CX61" s="347">
        <v>5642943.9417528585</v>
      </c>
      <c r="CY61" s="347">
        <v>607343.51155188214</v>
      </c>
      <c r="CZ61" s="347">
        <v>51762.091722204306</v>
      </c>
      <c r="DA61" s="347">
        <v>29905.318569316281</v>
      </c>
      <c r="DB61" s="347">
        <v>327515.26572317263</v>
      </c>
      <c r="DC61" s="347">
        <v>18921665.951882463</v>
      </c>
      <c r="DD61" s="347">
        <v>7099173.3451143103</v>
      </c>
      <c r="DE61" s="347">
        <v>363486.43286999984</v>
      </c>
      <c r="DF61" s="347">
        <v>1285963.8212098856</v>
      </c>
      <c r="DG61" s="347">
        <v>3253351.7360590128</v>
      </c>
      <c r="DH61" s="347">
        <v>3259265.3038760684</v>
      </c>
      <c r="DI61" s="347">
        <v>999972.80548749538</v>
      </c>
      <c r="DJ61" s="347">
        <v>41571.864708610185</v>
      </c>
      <c r="DK61" s="347">
        <v>461330.87507328292</v>
      </c>
      <c r="DL61" s="347">
        <v>400075.90462570667</v>
      </c>
      <c r="DM61" s="347">
        <v>4003536.6256850003</v>
      </c>
      <c r="DN61" s="347">
        <v>972213.02430228994</v>
      </c>
      <c r="DO61" s="347">
        <v>830575.48557390529</v>
      </c>
      <c r="DP61" s="347">
        <v>365762.22039747628</v>
      </c>
      <c r="DQ61" s="347">
        <v>481701.70322111342</v>
      </c>
      <c r="DR61" s="347">
        <v>1396429.651765648</v>
      </c>
      <c r="DS61" s="347">
        <v>288472.75106854481</v>
      </c>
      <c r="DT61" s="347">
        <v>14029.339759561124</v>
      </c>
      <c r="DU61" s="347">
        <v>14870.838521272446</v>
      </c>
      <c r="DV61" s="347">
        <v>31392.904507989038</v>
      </c>
      <c r="DW61" s="183"/>
    </row>
    <row r="62" spans="1:127" ht="29.25" customHeight="1" x14ac:dyDescent="0.3">
      <c r="B62" s="71"/>
      <c r="C62" s="45"/>
      <c r="D62" s="378"/>
      <c r="E62" s="72" t="s">
        <v>189</v>
      </c>
      <c r="F62" s="350">
        <f>SUMPRODUCT($G$61:$DV$61,G62:DV62)/$F$61</f>
        <v>0.99441983820312829</v>
      </c>
      <c r="G62" s="372">
        <v>0.99380000000000002</v>
      </c>
      <c r="H62" s="372">
        <v>0.99380000000000002</v>
      </c>
      <c r="I62" s="372">
        <v>0.99380000000000002</v>
      </c>
      <c r="J62" s="372">
        <v>0.99380000000000002</v>
      </c>
      <c r="K62" s="372">
        <v>0.99360000000000004</v>
      </c>
      <c r="L62" s="372">
        <v>0.99370000000000003</v>
      </c>
      <c r="M62" s="372">
        <v>0.99370000000000003</v>
      </c>
      <c r="N62" s="372">
        <v>0.99370000000000003</v>
      </c>
      <c r="O62" s="372">
        <v>0.99370000000000003</v>
      </c>
      <c r="P62" s="372">
        <v>0.99339999999999995</v>
      </c>
      <c r="Q62" s="372">
        <v>1</v>
      </c>
      <c r="R62" s="372">
        <v>1</v>
      </c>
      <c r="S62" s="372">
        <v>1</v>
      </c>
      <c r="T62" s="372">
        <v>1</v>
      </c>
      <c r="U62" s="372">
        <v>1</v>
      </c>
      <c r="V62" s="372">
        <v>0.99339999999999995</v>
      </c>
      <c r="W62" s="372">
        <v>0.99339999999999995</v>
      </c>
      <c r="X62" s="372">
        <v>0.99339999999999995</v>
      </c>
      <c r="Y62" s="372">
        <v>0.99339999999999995</v>
      </c>
      <c r="Z62" s="372">
        <v>0.99309999999999998</v>
      </c>
      <c r="AA62" s="372">
        <v>0.99329999999999996</v>
      </c>
      <c r="AB62" s="372">
        <v>0.99329999999999996</v>
      </c>
      <c r="AC62" s="372">
        <v>0.99329999999999996</v>
      </c>
      <c r="AD62" s="372">
        <v>0.99329999999999996</v>
      </c>
      <c r="AE62" s="372">
        <v>0.99299999999999999</v>
      </c>
      <c r="AF62" s="372">
        <v>0.99319999999999997</v>
      </c>
      <c r="AG62" s="372">
        <v>0.99319999999999997</v>
      </c>
      <c r="AH62" s="372">
        <v>0.99319999999999997</v>
      </c>
      <c r="AI62" s="372">
        <v>0.99319999999999997</v>
      </c>
      <c r="AJ62" s="372">
        <v>0.9929</v>
      </c>
      <c r="AK62" s="372">
        <v>1</v>
      </c>
      <c r="AL62" s="372">
        <v>1</v>
      </c>
      <c r="AM62" s="372">
        <v>1</v>
      </c>
      <c r="AN62" s="372">
        <v>1</v>
      </c>
      <c r="AO62" s="372">
        <v>1</v>
      </c>
      <c r="AP62" s="372">
        <v>0.99280000000000002</v>
      </c>
      <c r="AQ62" s="372">
        <v>0.99280000000000002</v>
      </c>
      <c r="AR62" s="372">
        <v>0.99280000000000002</v>
      </c>
      <c r="AS62" s="372">
        <v>0.99280000000000002</v>
      </c>
      <c r="AT62" s="372">
        <v>0.99250000000000005</v>
      </c>
      <c r="AU62" s="372">
        <v>0.99250000000000005</v>
      </c>
      <c r="AV62" s="372">
        <v>0.99250000000000005</v>
      </c>
      <c r="AW62" s="372">
        <v>0.99250000000000005</v>
      </c>
      <c r="AX62" s="372">
        <v>0.99250000000000005</v>
      </c>
      <c r="AY62" s="372">
        <v>0.99219999999999997</v>
      </c>
      <c r="AZ62" s="372">
        <v>0.99270000000000003</v>
      </c>
      <c r="BA62" s="372">
        <v>0.99270000000000003</v>
      </c>
      <c r="BB62" s="372">
        <v>0.99270000000000003</v>
      </c>
      <c r="BC62" s="372">
        <v>0.99270000000000003</v>
      </c>
      <c r="BD62" s="372">
        <v>0.99239999999999995</v>
      </c>
      <c r="BE62" s="372">
        <v>0.99260000000000004</v>
      </c>
      <c r="BF62" s="372">
        <v>0.99260000000000004</v>
      </c>
      <c r="BG62" s="372">
        <v>0.99260000000000004</v>
      </c>
      <c r="BH62" s="372">
        <v>0.99260000000000004</v>
      </c>
      <c r="BI62" s="372">
        <v>0.99219999999999997</v>
      </c>
      <c r="BJ62" s="372">
        <v>0.99229999999999996</v>
      </c>
      <c r="BK62" s="372">
        <v>0.99229999999999996</v>
      </c>
      <c r="BL62" s="372">
        <v>1</v>
      </c>
      <c r="BM62" s="372">
        <v>0.99229999999999996</v>
      </c>
      <c r="BN62" s="372">
        <v>0.99199999999999999</v>
      </c>
      <c r="BO62" s="372">
        <v>0.99619999999999997</v>
      </c>
      <c r="BP62" s="372">
        <v>0.99619999999999997</v>
      </c>
      <c r="BQ62" s="372">
        <v>0.99619999999999997</v>
      </c>
      <c r="BR62" s="372">
        <v>0.99619999999999997</v>
      </c>
      <c r="BS62" s="372">
        <v>0.99619999999999997</v>
      </c>
      <c r="BT62" s="372">
        <v>0.99619999999999997</v>
      </c>
      <c r="BU62" s="372">
        <v>0.99619999999999997</v>
      </c>
      <c r="BV62" s="372">
        <v>0.99619999999999997</v>
      </c>
      <c r="BW62" s="372">
        <v>0.99619999999999997</v>
      </c>
      <c r="BX62" s="372">
        <v>0.99619999999999997</v>
      </c>
      <c r="BY62" s="372">
        <v>1</v>
      </c>
      <c r="BZ62" s="372">
        <v>1</v>
      </c>
      <c r="CA62" s="372">
        <v>1</v>
      </c>
      <c r="CB62" s="372">
        <v>1</v>
      </c>
      <c r="CC62" s="372">
        <v>1</v>
      </c>
      <c r="CD62" s="372">
        <v>0.99619999999999997</v>
      </c>
      <c r="CE62" s="372">
        <v>0.99619999999999997</v>
      </c>
      <c r="CF62" s="372">
        <v>0.99619999999999997</v>
      </c>
      <c r="CG62" s="372">
        <v>0.99619999999999997</v>
      </c>
      <c r="CH62" s="372">
        <v>0.99619999999999997</v>
      </c>
      <c r="CI62" s="372">
        <v>0.99619999999999997</v>
      </c>
      <c r="CJ62" s="372">
        <v>0.99619999999999997</v>
      </c>
      <c r="CK62" s="372">
        <v>0.99619999999999997</v>
      </c>
      <c r="CL62" s="372">
        <v>0.99619999999999997</v>
      </c>
      <c r="CM62" s="372">
        <v>0.99619999999999997</v>
      </c>
      <c r="CN62" s="372">
        <v>0.99619999999999997</v>
      </c>
      <c r="CO62" s="372">
        <v>0.99619999999999997</v>
      </c>
      <c r="CP62" s="372">
        <v>0.99619999999999997</v>
      </c>
      <c r="CQ62" s="372">
        <v>0.99619999999999997</v>
      </c>
      <c r="CR62" s="372">
        <v>0.99619999999999997</v>
      </c>
      <c r="CS62" s="372">
        <v>1</v>
      </c>
      <c r="CT62" s="372">
        <v>1</v>
      </c>
      <c r="CU62" s="372">
        <v>1</v>
      </c>
      <c r="CV62" s="372">
        <v>1</v>
      </c>
      <c r="CW62" s="372">
        <v>1</v>
      </c>
      <c r="CX62" s="372">
        <v>0.99619999999999997</v>
      </c>
      <c r="CY62" s="372">
        <v>0.99619999999999997</v>
      </c>
      <c r="CZ62" s="372">
        <v>0.99619999999999997</v>
      </c>
      <c r="DA62" s="372">
        <v>0.99619999999999997</v>
      </c>
      <c r="DB62" s="372">
        <v>0.99619999999999997</v>
      </c>
      <c r="DC62" s="372">
        <v>0.99619999999999997</v>
      </c>
      <c r="DD62" s="372">
        <v>0.99619999999999997</v>
      </c>
      <c r="DE62" s="372">
        <v>0.99619999999999997</v>
      </c>
      <c r="DF62" s="372">
        <v>0.99619999999999997</v>
      </c>
      <c r="DG62" s="372">
        <v>0.99619999999999997</v>
      </c>
      <c r="DH62" s="372">
        <v>0.99619999999999997</v>
      </c>
      <c r="DI62" s="372">
        <v>0.99619999999999997</v>
      </c>
      <c r="DJ62" s="372">
        <v>0.99619999999999997</v>
      </c>
      <c r="DK62" s="372">
        <v>0.99619999999999997</v>
      </c>
      <c r="DL62" s="372">
        <v>0.99619999999999997</v>
      </c>
      <c r="DM62" s="372">
        <v>0.99619999999999997</v>
      </c>
      <c r="DN62" s="372">
        <v>0.99619999999999997</v>
      </c>
      <c r="DO62" s="372">
        <v>0.99619999999999997</v>
      </c>
      <c r="DP62" s="372">
        <v>0.99619999999999997</v>
      </c>
      <c r="DQ62" s="372">
        <v>0.99619999999999997</v>
      </c>
      <c r="DR62" s="372">
        <v>0.99619999999999997</v>
      </c>
      <c r="DS62" s="372">
        <v>0.99619999999999997</v>
      </c>
      <c r="DT62" s="372">
        <v>0.99619999999999997</v>
      </c>
      <c r="DU62" s="372">
        <v>0.99619999999999997</v>
      </c>
      <c r="DV62" s="372">
        <v>0.99619999999999997</v>
      </c>
    </row>
    <row r="63" spans="1:127" ht="27.75" customHeight="1" x14ac:dyDescent="0.3">
      <c r="B63" s="71"/>
      <c r="C63" s="45"/>
      <c r="D63" s="378"/>
      <c r="E63" s="72" t="s">
        <v>69</v>
      </c>
      <c r="F63" s="350">
        <f>SUMPRODUCT($G$61:$DV$61,G63:DV63)/$F$61</f>
        <v>0</v>
      </c>
      <c r="G63" s="372">
        <v>0</v>
      </c>
      <c r="H63" s="372">
        <v>0</v>
      </c>
      <c r="I63" s="372">
        <v>0</v>
      </c>
      <c r="J63" s="372">
        <v>0</v>
      </c>
      <c r="K63" s="372">
        <v>0</v>
      </c>
      <c r="L63" s="372">
        <v>0</v>
      </c>
      <c r="M63" s="372">
        <v>0</v>
      </c>
      <c r="N63" s="372">
        <v>0</v>
      </c>
      <c r="O63" s="372">
        <v>0</v>
      </c>
      <c r="P63" s="372">
        <v>0</v>
      </c>
      <c r="Q63" s="372">
        <v>0</v>
      </c>
      <c r="R63" s="372">
        <v>0</v>
      </c>
      <c r="S63" s="372">
        <v>0</v>
      </c>
      <c r="T63" s="372">
        <v>0</v>
      </c>
      <c r="U63" s="372">
        <v>0</v>
      </c>
      <c r="V63" s="372">
        <v>0</v>
      </c>
      <c r="W63" s="372">
        <v>0</v>
      </c>
      <c r="X63" s="372">
        <v>0</v>
      </c>
      <c r="Y63" s="372">
        <v>0</v>
      </c>
      <c r="Z63" s="372">
        <v>0</v>
      </c>
      <c r="AA63" s="372">
        <v>0</v>
      </c>
      <c r="AB63" s="372">
        <v>0</v>
      </c>
      <c r="AC63" s="372">
        <v>0</v>
      </c>
      <c r="AD63" s="372">
        <v>0</v>
      </c>
      <c r="AE63" s="372">
        <v>0</v>
      </c>
      <c r="AF63" s="372">
        <v>0</v>
      </c>
      <c r="AG63" s="372">
        <v>0</v>
      </c>
      <c r="AH63" s="372">
        <v>0</v>
      </c>
      <c r="AI63" s="372">
        <v>0</v>
      </c>
      <c r="AJ63" s="372">
        <v>0</v>
      </c>
      <c r="AK63" s="372">
        <v>0</v>
      </c>
      <c r="AL63" s="372">
        <v>0</v>
      </c>
      <c r="AM63" s="372">
        <v>0</v>
      </c>
      <c r="AN63" s="372">
        <v>0</v>
      </c>
      <c r="AO63" s="372">
        <v>0</v>
      </c>
      <c r="AP63" s="372">
        <v>0</v>
      </c>
      <c r="AQ63" s="372">
        <v>0</v>
      </c>
      <c r="AR63" s="372">
        <v>0</v>
      </c>
      <c r="AS63" s="372">
        <v>0</v>
      </c>
      <c r="AT63" s="372">
        <v>0</v>
      </c>
      <c r="AU63" s="372">
        <v>0</v>
      </c>
      <c r="AV63" s="372">
        <v>0</v>
      </c>
      <c r="AW63" s="372">
        <v>0</v>
      </c>
      <c r="AX63" s="372">
        <v>0</v>
      </c>
      <c r="AY63" s="372">
        <v>0</v>
      </c>
      <c r="AZ63" s="372">
        <v>0</v>
      </c>
      <c r="BA63" s="372">
        <v>0</v>
      </c>
      <c r="BB63" s="372">
        <v>0</v>
      </c>
      <c r="BC63" s="372">
        <v>0</v>
      </c>
      <c r="BD63" s="372">
        <v>0</v>
      </c>
      <c r="BE63" s="372">
        <v>0</v>
      </c>
      <c r="BF63" s="372">
        <v>0</v>
      </c>
      <c r="BG63" s="372">
        <v>0</v>
      </c>
      <c r="BH63" s="372">
        <v>0</v>
      </c>
      <c r="BI63" s="372">
        <v>0</v>
      </c>
      <c r="BJ63" s="372">
        <v>0</v>
      </c>
      <c r="BK63" s="372">
        <v>0</v>
      </c>
      <c r="BL63" s="372">
        <v>0</v>
      </c>
      <c r="BM63" s="372">
        <v>0</v>
      </c>
      <c r="BN63" s="372">
        <v>0</v>
      </c>
      <c r="BO63" s="372">
        <v>0</v>
      </c>
      <c r="BP63" s="372">
        <v>0</v>
      </c>
      <c r="BQ63" s="372">
        <v>0</v>
      </c>
      <c r="BR63" s="372">
        <v>0</v>
      </c>
      <c r="BS63" s="372">
        <v>0</v>
      </c>
      <c r="BT63" s="372">
        <v>0</v>
      </c>
      <c r="BU63" s="372">
        <v>0</v>
      </c>
      <c r="BV63" s="372">
        <v>0</v>
      </c>
      <c r="BW63" s="372">
        <v>0</v>
      </c>
      <c r="BX63" s="372">
        <v>0</v>
      </c>
      <c r="BY63" s="372">
        <v>0</v>
      </c>
      <c r="BZ63" s="372">
        <v>0</v>
      </c>
      <c r="CA63" s="372">
        <v>0</v>
      </c>
      <c r="CB63" s="372">
        <v>0</v>
      </c>
      <c r="CC63" s="372">
        <v>0</v>
      </c>
      <c r="CD63" s="372">
        <v>0</v>
      </c>
      <c r="CE63" s="372">
        <v>0</v>
      </c>
      <c r="CF63" s="372">
        <v>0</v>
      </c>
      <c r="CG63" s="372">
        <v>0</v>
      </c>
      <c r="CH63" s="372">
        <v>0</v>
      </c>
      <c r="CI63" s="372">
        <v>0</v>
      </c>
      <c r="CJ63" s="372">
        <v>0</v>
      </c>
      <c r="CK63" s="372">
        <v>0</v>
      </c>
      <c r="CL63" s="372">
        <v>0</v>
      </c>
      <c r="CM63" s="372">
        <v>0</v>
      </c>
      <c r="CN63" s="372">
        <v>0</v>
      </c>
      <c r="CO63" s="372">
        <v>0</v>
      </c>
      <c r="CP63" s="372">
        <v>0</v>
      </c>
      <c r="CQ63" s="372">
        <v>0</v>
      </c>
      <c r="CR63" s="372">
        <v>0</v>
      </c>
      <c r="CS63" s="372">
        <v>0</v>
      </c>
      <c r="CT63" s="372">
        <v>0</v>
      </c>
      <c r="CU63" s="372">
        <v>0</v>
      </c>
      <c r="CV63" s="372">
        <v>0</v>
      </c>
      <c r="CW63" s="372">
        <v>0</v>
      </c>
      <c r="CX63" s="372">
        <v>0</v>
      </c>
      <c r="CY63" s="372">
        <v>0</v>
      </c>
      <c r="CZ63" s="372">
        <v>0</v>
      </c>
      <c r="DA63" s="372">
        <v>0</v>
      </c>
      <c r="DB63" s="372">
        <v>0</v>
      </c>
      <c r="DC63" s="372">
        <v>0</v>
      </c>
      <c r="DD63" s="372">
        <v>0</v>
      </c>
      <c r="DE63" s="372">
        <v>0</v>
      </c>
      <c r="DF63" s="372">
        <v>0</v>
      </c>
      <c r="DG63" s="372">
        <v>0</v>
      </c>
      <c r="DH63" s="372">
        <v>0</v>
      </c>
      <c r="DI63" s="372">
        <v>0</v>
      </c>
      <c r="DJ63" s="372">
        <v>0</v>
      </c>
      <c r="DK63" s="372">
        <v>0</v>
      </c>
      <c r="DL63" s="372">
        <v>0</v>
      </c>
      <c r="DM63" s="372">
        <v>0</v>
      </c>
      <c r="DN63" s="372">
        <v>0</v>
      </c>
      <c r="DO63" s="372">
        <v>0</v>
      </c>
      <c r="DP63" s="372">
        <v>0</v>
      </c>
      <c r="DQ63" s="372">
        <v>0</v>
      </c>
      <c r="DR63" s="372">
        <v>0</v>
      </c>
      <c r="DS63" s="372">
        <v>0</v>
      </c>
      <c r="DT63" s="372">
        <v>0</v>
      </c>
      <c r="DU63" s="372">
        <v>0</v>
      </c>
      <c r="DV63" s="372">
        <v>0</v>
      </c>
      <c r="DW63" s="183"/>
    </row>
    <row r="64" spans="1:127" ht="15" customHeight="1" x14ac:dyDescent="0.3">
      <c r="B64" s="71"/>
      <c r="C64" s="45"/>
      <c r="D64" s="378"/>
      <c r="E64" s="72" t="s">
        <v>70</v>
      </c>
      <c r="F64" s="350">
        <f>1-F62-F63</f>
        <v>5.5801617968717077E-3</v>
      </c>
      <c r="G64" s="270">
        <f t="shared" ref="G64:AL64" si="21">1-G63-G62</f>
        <v>6.1999999999999833E-3</v>
      </c>
      <c r="H64" s="270">
        <f t="shared" si="21"/>
        <v>6.1999999999999833E-3</v>
      </c>
      <c r="I64" s="270">
        <f t="shared" si="21"/>
        <v>6.1999999999999833E-3</v>
      </c>
      <c r="J64" s="270">
        <f t="shared" si="21"/>
        <v>6.1999999999999833E-3</v>
      </c>
      <c r="K64" s="270">
        <f t="shared" si="21"/>
        <v>6.3999999999999613E-3</v>
      </c>
      <c r="L64" s="270">
        <f t="shared" si="21"/>
        <v>6.2999999999999723E-3</v>
      </c>
      <c r="M64" s="270">
        <f t="shared" si="21"/>
        <v>6.2999999999999723E-3</v>
      </c>
      <c r="N64" s="270">
        <f t="shared" si="21"/>
        <v>6.2999999999999723E-3</v>
      </c>
      <c r="O64" s="270">
        <f t="shared" si="21"/>
        <v>6.2999999999999723E-3</v>
      </c>
      <c r="P64" s="270">
        <f t="shared" si="21"/>
        <v>6.6000000000000503E-3</v>
      </c>
      <c r="Q64" s="270">
        <f t="shared" si="21"/>
        <v>0</v>
      </c>
      <c r="R64" s="270">
        <f t="shared" si="21"/>
        <v>0</v>
      </c>
      <c r="S64" s="270">
        <f t="shared" si="21"/>
        <v>0</v>
      </c>
      <c r="T64" s="270">
        <f t="shared" si="21"/>
        <v>0</v>
      </c>
      <c r="U64" s="270">
        <f t="shared" si="21"/>
        <v>0</v>
      </c>
      <c r="V64" s="270">
        <f t="shared" si="21"/>
        <v>6.6000000000000503E-3</v>
      </c>
      <c r="W64" s="270">
        <f t="shared" si="21"/>
        <v>6.6000000000000503E-3</v>
      </c>
      <c r="X64" s="270">
        <f t="shared" si="21"/>
        <v>6.6000000000000503E-3</v>
      </c>
      <c r="Y64" s="270">
        <f t="shared" si="21"/>
        <v>6.6000000000000503E-3</v>
      </c>
      <c r="Z64" s="270">
        <f t="shared" si="21"/>
        <v>6.9000000000000172E-3</v>
      </c>
      <c r="AA64" s="270">
        <f t="shared" si="21"/>
        <v>6.7000000000000393E-3</v>
      </c>
      <c r="AB64" s="270">
        <f t="shared" si="21"/>
        <v>6.7000000000000393E-3</v>
      </c>
      <c r="AC64" s="270">
        <f t="shared" si="21"/>
        <v>6.7000000000000393E-3</v>
      </c>
      <c r="AD64" s="270">
        <f t="shared" si="21"/>
        <v>6.7000000000000393E-3</v>
      </c>
      <c r="AE64" s="270">
        <f t="shared" si="21"/>
        <v>7.0000000000000062E-3</v>
      </c>
      <c r="AF64" s="270">
        <f t="shared" si="21"/>
        <v>6.8000000000000282E-3</v>
      </c>
      <c r="AG64" s="270">
        <f t="shared" si="21"/>
        <v>6.8000000000000282E-3</v>
      </c>
      <c r="AH64" s="270">
        <f t="shared" si="21"/>
        <v>6.8000000000000282E-3</v>
      </c>
      <c r="AI64" s="270">
        <f t="shared" si="21"/>
        <v>6.8000000000000282E-3</v>
      </c>
      <c r="AJ64" s="270">
        <f t="shared" si="21"/>
        <v>7.0999999999999952E-3</v>
      </c>
      <c r="AK64" s="270">
        <f t="shared" si="21"/>
        <v>0</v>
      </c>
      <c r="AL64" s="270">
        <f t="shared" si="21"/>
        <v>0</v>
      </c>
      <c r="AM64" s="270">
        <f t="shared" ref="AM64:BR64" si="22">1-AM63-AM62</f>
        <v>0</v>
      </c>
      <c r="AN64" s="270">
        <f t="shared" si="22"/>
        <v>0</v>
      </c>
      <c r="AO64" s="270">
        <f t="shared" si="22"/>
        <v>0</v>
      </c>
      <c r="AP64" s="270">
        <f t="shared" si="22"/>
        <v>7.1999999999999842E-3</v>
      </c>
      <c r="AQ64" s="270">
        <f t="shared" si="22"/>
        <v>7.1999999999999842E-3</v>
      </c>
      <c r="AR64" s="270">
        <f t="shared" si="22"/>
        <v>7.1999999999999842E-3</v>
      </c>
      <c r="AS64" s="270">
        <f t="shared" si="22"/>
        <v>7.1999999999999842E-3</v>
      </c>
      <c r="AT64" s="270">
        <f t="shared" si="22"/>
        <v>7.4999999999999512E-3</v>
      </c>
      <c r="AU64" s="270">
        <f t="shared" si="22"/>
        <v>7.4999999999999512E-3</v>
      </c>
      <c r="AV64" s="270">
        <f t="shared" si="22"/>
        <v>7.4999999999999512E-3</v>
      </c>
      <c r="AW64" s="270">
        <f t="shared" si="22"/>
        <v>7.4999999999999512E-3</v>
      </c>
      <c r="AX64" s="270">
        <f t="shared" si="22"/>
        <v>7.4999999999999512E-3</v>
      </c>
      <c r="AY64" s="270">
        <f t="shared" si="22"/>
        <v>7.8000000000000291E-3</v>
      </c>
      <c r="AZ64" s="270">
        <f t="shared" si="22"/>
        <v>7.2999999999999732E-3</v>
      </c>
      <c r="BA64" s="270">
        <f t="shared" si="22"/>
        <v>7.2999999999999732E-3</v>
      </c>
      <c r="BB64" s="270">
        <f t="shared" si="22"/>
        <v>7.2999999999999732E-3</v>
      </c>
      <c r="BC64" s="270">
        <f t="shared" si="22"/>
        <v>7.2999999999999732E-3</v>
      </c>
      <c r="BD64" s="270">
        <f t="shared" si="22"/>
        <v>7.6000000000000512E-3</v>
      </c>
      <c r="BE64" s="270">
        <f t="shared" si="22"/>
        <v>7.3999999999999622E-3</v>
      </c>
      <c r="BF64" s="270">
        <f t="shared" si="22"/>
        <v>7.3999999999999622E-3</v>
      </c>
      <c r="BG64" s="270">
        <f t="shared" si="22"/>
        <v>7.3999999999999622E-3</v>
      </c>
      <c r="BH64" s="270">
        <f t="shared" si="22"/>
        <v>7.3999999999999622E-3</v>
      </c>
      <c r="BI64" s="270">
        <f t="shared" si="22"/>
        <v>7.8000000000000291E-3</v>
      </c>
      <c r="BJ64" s="270">
        <f t="shared" si="22"/>
        <v>7.7000000000000401E-3</v>
      </c>
      <c r="BK64" s="270">
        <f t="shared" si="22"/>
        <v>7.7000000000000401E-3</v>
      </c>
      <c r="BL64" s="270">
        <f t="shared" si="22"/>
        <v>0</v>
      </c>
      <c r="BM64" s="270">
        <f t="shared" si="22"/>
        <v>7.7000000000000401E-3</v>
      </c>
      <c r="BN64" s="270">
        <f t="shared" si="22"/>
        <v>8.0000000000000071E-3</v>
      </c>
      <c r="BO64" s="270">
        <f t="shared" si="22"/>
        <v>3.8000000000000256E-3</v>
      </c>
      <c r="BP64" s="270">
        <f t="shared" si="22"/>
        <v>3.8000000000000256E-3</v>
      </c>
      <c r="BQ64" s="270">
        <f t="shared" si="22"/>
        <v>3.8000000000000256E-3</v>
      </c>
      <c r="BR64" s="270">
        <f t="shared" si="22"/>
        <v>3.8000000000000256E-3</v>
      </c>
      <c r="BS64" s="270">
        <f t="shared" ref="BS64:CX64" si="23">1-BS63-BS62</f>
        <v>3.8000000000000256E-3</v>
      </c>
      <c r="BT64" s="270">
        <f t="shared" si="23"/>
        <v>3.8000000000000256E-3</v>
      </c>
      <c r="BU64" s="270">
        <f t="shared" si="23"/>
        <v>3.8000000000000256E-3</v>
      </c>
      <c r="BV64" s="270">
        <f t="shared" si="23"/>
        <v>3.8000000000000256E-3</v>
      </c>
      <c r="BW64" s="270">
        <f t="shared" si="23"/>
        <v>3.8000000000000256E-3</v>
      </c>
      <c r="BX64" s="270">
        <f t="shared" si="23"/>
        <v>3.8000000000000256E-3</v>
      </c>
      <c r="BY64" s="270">
        <f t="shared" si="23"/>
        <v>0</v>
      </c>
      <c r="BZ64" s="270">
        <f t="shared" si="23"/>
        <v>0</v>
      </c>
      <c r="CA64" s="270">
        <f t="shared" si="23"/>
        <v>0</v>
      </c>
      <c r="CB64" s="270">
        <f t="shared" si="23"/>
        <v>0</v>
      </c>
      <c r="CC64" s="270">
        <f t="shared" si="23"/>
        <v>0</v>
      </c>
      <c r="CD64" s="270">
        <f t="shared" si="23"/>
        <v>3.8000000000000256E-3</v>
      </c>
      <c r="CE64" s="270">
        <f t="shared" si="23"/>
        <v>3.8000000000000256E-3</v>
      </c>
      <c r="CF64" s="270">
        <f t="shared" si="23"/>
        <v>3.8000000000000256E-3</v>
      </c>
      <c r="CG64" s="270">
        <f t="shared" si="23"/>
        <v>3.8000000000000256E-3</v>
      </c>
      <c r="CH64" s="270">
        <f t="shared" si="23"/>
        <v>3.8000000000000256E-3</v>
      </c>
      <c r="CI64" s="270">
        <f t="shared" si="23"/>
        <v>3.8000000000000256E-3</v>
      </c>
      <c r="CJ64" s="270">
        <f t="shared" si="23"/>
        <v>3.8000000000000256E-3</v>
      </c>
      <c r="CK64" s="270">
        <f t="shared" si="23"/>
        <v>3.8000000000000256E-3</v>
      </c>
      <c r="CL64" s="270">
        <f t="shared" si="23"/>
        <v>3.8000000000000256E-3</v>
      </c>
      <c r="CM64" s="270">
        <f t="shared" si="23"/>
        <v>3.8000000000000256E-3</v>
      </c>
      <c r="CN64" s="270">
        <f t="shared" si="23"/>
        <v>3.8000000000000256E-3</v>
      </c>
      <c r="CO64" s="270">
        <f t="shared" si="23"/>
        <v>3.8000000000000256E-3</v>
      </c>
      <c r="CP64" s="270">
        <f t="shared" si="23"/>
        <v>3.8000000000000256E-3</v>
      </c>
      <c r="CQ64" s="270">
        <f t="shared" si="23"/>
        <v>3.8000000000000256E-3</v>
      </c>
      <c r="CR64" s="270">
        <f t="shared" si="23"/>
        <v>3.8000000000000256E-3</v>
      </c>
      <c r="CS64" s="270">
        <f t="shared" si="23"/>
        <v>0</v>
      </c>
      <c r="CT64" s="270">
        <f t="shared" si="23"/>
        <v>0</v>
      </c>
      <c r="CU64" s="270">
        <f t="shared" si="23"/>
        <v>0</v>
      </c>
      <c r="CV64" s="270">
        <f t="shared" si="23"/>
        <v>0</v>
      </c>
      <c r="CW64" s="270">
        <f t="shared" si="23"/>
        <v>0</v>
      </c>
      <c r="CX64" s="270">
        <f t="shared" si="23"/>
        <v>3.8000000000000256E-3</v>
      </c>
      <c r="CY64" s="270">
        <f t="shared" ref="CY64:DV64" si="24">1-CY63-CY62</f>
        <v>3.8000000000000256E-3</v>
      </c>
      <c r="CZ64" s="270">
        <f t="shared" si="24"/>
        <v>3.8000000000000256E-3</v>
      </c>
      <c r="DA64" s="270">
        <f t="shared" si="24"/>
        <v>3.8000000000000256E-3</v>
      </c>
      <c r="DB64" s="270">
        <f t="shared" si="24"/>
        <v>3.8000000000000256E-3</v>
      </c>
      <c r="DC64" s="270">
        <f t="shared" si="24"/>
        <v>3.8000000000000256E-3</v>
      </c>
      <c r="DD64" s="270">
        <f t="shared" si="24"/>
        <v>3.8000000000000256E-3</v>
      </c>
      <c r="DE64" s="270">
        <f t="shared" si="24"/>
        <v>3.8000000000000256E-3</v>
      </c>
      <c r="DF64" s="270">
        <f t="shared" si="24"/>
        <v>3.8000000000000256E-3</v>
      </c>
      <c r="DG64" s="270">
        <f t="shared" si="24"/>
        <v>3.8000000000000256E-3</v>
      </c>
      <c r="DH64" s="270">
        <f t="shared" si="24"/>
        <v>3.8000000000000256E-3</v>
      </c>
      <c r="DI64" s="270">
        <f t="shared" si="24"/>
        <v>3.8000000000000256E-3</v>
      </c>
      <c r="DJ64" s="270">
        <f t="shared" si="24"/>
        <v>3.8000000000000256E-3</v>
      </c>
      <c r="DK64" s="270">
        <f t="shared" si="24"/>
        <v>3.8000000000000256E-3</v>
      </c>
      <c r="DL64" s="270">
        <f t="shared" si="24"/>
        <v>3.8000000000000256E-3</v>
      </c>
      <c r="DM64" s="270">
        <f t="shared" si="24"/>
        <v>3.8000000000000256E-3</v>
      </c>
      <c r="DN64" s="270">
        <f t="shared" si="24"/>
        <v>3.8000000000000256E-3</v>
      </c>
      <c r="DO64" s="270">
        <f t="shared" si="24"/>
        <v>3.8000000000000256E-3</v>
      </c>
      <c r="DP64" s="270">
        <f t="shared" si="24"/>
        <v>3.8000000000000256E-3</v>
      </c>
      <c r="DQ64" s="270">
        <f t="shared" si="24"/>
        <v>3.8000000000000256E-3</v>
      </c>
      <c r="DR64" s="270">
        <f t="shared" si="24"/>
        <v>3.8000000000000256E-3</v>
      </c>
      <c r="DS64" s="270">
        <f t="shared" si="24"/>
        <v>3.8000000000000256E-3</v>
      </c>
      <c r="DT64" s="270">
        <f t="shared" si="24"/>
        <v>3.8000000000000256E-3</v>
      </c>
      <c r="DU64" s="270">
        <f t="shared" si="24"/>
        <v>3.8000000000000256E-3</v>
      </c>
      <c r="DV64" s="270">
        <f t="shared" si="24"/>
        <v>3.8000000000000256E-3</v>
      </c>
      <c r="DW64" s="183"/>
    </row>
    <row r="65" spans="1:127" ht="27" customHeight="1" x14ac:dyDescent="0.3">
      <c r="B65" s="71"/>
      <c r="C65" s="45"/>
      <c r="D65" s="378"/>
      <c r="E65" s="74" t="s">
        <v>100</v>
      </c>
      <c r="F65" s="346">
        <f>SUM(G65:DV65)</f>
        <v>39157963.783316344</v>
      </c>
      <c r="G65" s="347">
        <v>8246254.1899285801</v>
      </c>
      <c r="H65" s="347">
        <v>831753.92229560157</v>
      </c>
      <c r="I65" s="347">
        <v>408373.23071793007</v>
      </c>
      <c r="J65" s="347">
        <v>8953.2171274952689</v>
      </c>
      <c r="K65" s="347">
        <v>818838.40323235432</v>
      </c>
      <c r="L65" s="347">
        <v>4496345.1901040766</v>
      </c>
      <c r="M65" s="347">
        <v>582569.92036729562</v>
      </c>
      <c r="N65" s="347">
        <v>359421.40234315465</v>
      </c>
      <c r="O65" s="347">
        <v>25326.715564047536</v>
      </c>
      <c r="P65" s="347">
        <v>374650.68080526777</v>
      </c>
      <c r="Q65" s="347">
        <v>0</v>
      </c>
      <c r="R65" s="347">
        <v>0</v>
      </c>
      <c r="S65" s="347">
        <v>0</v>
      </c>
      <c r="T65" s="347">
        <v>0</v>
      </c>
      <c r="U65" s="347">
        <v>0</v>
      </c>
      <c r="V65" s="347">
        <v>3994267.4529350623</v>
      </c>
      <c r="W65" s="347">
        <v>-292583.78100630338</v>
      </c>
      <c r="X65" s="347">
        <v>357889.72430377943</v>
      </c>
      <c r="Y65" s="347">
        <v>73665.566926450818</v>
      </c>
      <c r="Z65" s="347">
        <v>649471.5800435181</v>
      </c>
      <c r="AA65" s="347">
        <v>10686263.825124405</v>
      </c>
      <c r="AB65" s="347">
        <v>702037.25131714437</v>
      </c>
      <c r="AC65" s="347">
        <v>1191661.6529938015</v>
      </c>
      <c r="AD65" s="347">
        <v>-495266.87795861927</v>
      </c>
      <c r="AE65" s="347">
        <v>579628.61494698422</v>
      </c>
      <c r="AF65" s="347">
        <v>4809254.4525861032</v>
      </c>
      <c r="AG65" s="347">
        <v>4212022.7965650931</v>
      </c>
      <c r="AH65" s="347">
        <v>419713.87794413604</v>
      </c>
      <c r="AI65" s="347">
        <v>-556400.17270945094</v>
      </c>
      <c r="AJ65" s="347">
        <v>833923.34821216122</v>
      </c>
      <c r="AK65" s="347">
        <v>0</v>
      </c>
      <c r="AL65" s="347">
        <v>0</v>
      </c>
      <c r="AM65" s="347">
        <v>0</v>
      </c>
      <c r="AN65" s="347">
        <v>0</v>
      </c>
      <c r="AO65" s="347">
        <v>0</v>
      </c>
      <c r="AP65" s="347">
        <v>-275467.67643649643</v>
      </c>
      <c r="AQ65" s="347">
        <v>182531.891085724</v>
      </c>
      <c r="AR65" s="347">
        <v>261847.36517923544</v>
      </c>
      <c r="AS65" s="347">
        <v>-122615.79609772941</v>
      </c>
      <c r="AT65" s="347">
        <v>-129459.34515376773</v>
      </c>
      <c r="AU65" s="347">
        <v>-11053642.402826453</v>
      </c>
      <c r="AV65" s="347">
        <v>-4804398.3287682217</v>
      </c>
      <c r="AW65" s="347">
        <v>43843.925427859416</v>
      </c>
      <c r="AX65" s="347">
        <v>-1202025.7699476168</v>
      </c>
      <c r="AY65" s="347">
        <v>-554100.34782253997</v>
      </c>
      <c r="AZ65" s="347">
        <v>-1297450.392381225</v>
      </c>
      <c r="BA65" s="347">
        <v>-406151.71606776241</v>
      </c>
      <c r="BB65" s="347">
        <v>182879.90363003447</v>
      </c>
      <c r="BC65" s="347">
        <v>-80045.615006997949</v>
      </c>
      <c r="BD65" s="347">
        <v>217161.34721278105</v>
      </c>
      <c r="BE65" s="347">
        <v>-3271036.4312795973</v>
      </c>
      <c r="BF65" s="347">
        <v>-1000969.1182529856</v>
      </c>
      <c r="BG65" s="347">
        <v>-80711.82251746062</v>
      </c>
      <c r="BH65" s="347">
        <v>-760177.59231680469</v>
      </c>
      <c r="BI65" s="347">
        <v>-419709.78405069862</v>
      </c>
      <c r="BJ65" s="347">
        <v>-25648.199610138632</v>
      </c>
      <c r="BK65" s="347">
        <v>-102505.9886927793</v>
      </c>
      <c r="BL65" s="347">
        <v>0</v>
      </c>
      <c r="BM65" s="347">
        <v>-26732.21766653884</v>
      </c>
      <c r="BN65" s="347">
        <v>-8812.6977995122834</v>
      </c>
      <c r="BO65" s="347">
        <v>22694835.56114509</v>
      </c>
      <c r="BP65" s="347">
        <v>993199.75136097055</v>
      </c>
      <c r="BQ65" s="347">
        <v>131363.51681460007</v>
      </c>
      <c r="BR65" s="347">
        <v>11571.506728610242</v>
      </c>
      <c r="BS65" s="347">
        <v>1090926.905644529</v>
      </c>
      <c r="BT65" s="347">
        <v>4463831.8382405043</v>
      </c>
      <c r="BU65" s="347">
        <v>1516341.6264725919</v>
      </c>
      <c r="BV65" s="347">
        <v>832.56729990946042</v>
      </c>
      <c r="BW65" s="347">
        <v>-15950.339161402928</v>
      </c>
      <c r="BX65" s="347">
        <v>691427.86736601964</v>
      </c>
      <c r="BY65" s="347">
        <v>0</v>
      </c>
      <c r="BZ65" s="347">
        <v>0</v>
      </c>
      <c r="CA65" s="347">
        <v>0</v>
      </c>
      <c r="CB65" s="347">
        <v>0</v>
      </c>
      <c r="CC65" s="347">
        <v>0</v>
      </c>
      <c r="CD65" s="347">
        <v>1779929.727034241</v>
      </c>
      <c r="CE65" s="347">
        <v>-401275.24818658282</v>
      </c>
      <c r="CF65" s="347">
        <v>42361.091014271457</v>
      </c>
      <c r="CG65" s="347">
        <v>-75303.808026853774</v>
      </c>
      <c r="CH65" s="347">
        <v>-2921.0136646805913</v>
      </c>
      <c r="CI65" s="347">
        <v>2659123.9857759178</v>
      </c>
      <c r="CJ65" s="347">
        <v>740210.90284450701</v>
      </c>
      <c r="CK65" s="347">
        <v>-48840.84402687462</v>
      </c>
      <c r="CL65" s="347">
        <v>-71405.746136816262</v>
      </c>
      <c r="CM65" s="347">
        <v>-54368.427660911751</v>
      </c>
      <c r="CN65" s="347">
        <v>2270569.9483076315</v>
      </c>
      <c r="CO65" s="347">
        <v>205096.6558581572</v>
      </c>
      <c r="CP65" s="347">
        <v>-13488.189291888804</v>
      </c>
      <c r="CQ65" s="347">
        <v>-61831.3133614197</v>
      </c>
      <c r="CR65" s="347">
        <v>86126.333910462767</v>
      </c>
      <c r="CS65" s="347">
        <v>0</v>
      </c>
      <c r="CT65" s="347">
        <v>0</v>
      </c>
      <c r="CU65" s="347">
        <v>0</v>
      </c>
      <c r="CV65" s="347">
        <v>0</v>
      </c>
      <c r="CW65" s="347">
        <v>0</v>
      </c>
      <c r="CX65" s="347">
        <v>-1064473.9021901083</v>
      </c>
      <c r="CY65" s="347">
        <v>-348963.36120394984</v>
      </c>
      <c r="CZ65" s="347">
        <v>-13690.688356649074</v>
      </c>
      <c r="DA65" s="347">
        <v>-44897.104394418173</v>
      </c>
      <c r="DB65" s="347">
        <v>34745.965969289202</v>
      </c>
      <c r="DC65" s="347">
        <v>-7505124.8519472778</v>
      </c>
      <c r="DD65" s="347">
        <v>-3322048.4904882489</v>
      </c>
      <c r="DE65" s="347">
        <v>-250356.00025253327</v>
      </c>
      <c r="DF65" s="347">
        <v>-706852.17293656478</v>
      </c>
      <c r="DG65" s="347">
        <v>-612311.29796028975</v>
      </c>
      <c r="DH65" s="347">
        <v>-954028.53980526153</v>
      </c>
      <c r="DI65" s="347">
        <v>-270591.54710988729</v>
      </c>
      <c r="DJ65" s="347">
        <v>-35258.666919708325</v>
      </c>
      <c r="DK65" s="347">
        <v>-53182.566539091444</v>
      </c>
      <c r="DL65" s="347">
        <v>-42771.447359834856</v>
      </c>
      <c r="DM65" s="347">
        <v>-2208220.0944386292</v>
      </c>
      <c r="DN65" s="347">
        <v>-709831.90628551901</v>
      </c>
      <c r="DO65" s="347">
        <v>322516.52884345507</v>
      </c>
      <c r="DP65" s="347">
        <v>-170838.27863651267</v>
      </c>
      <c r="DQ65" s="347">
        <v>-314399.14994053659</v>
      </c>
      <c r="DR65" s="347">
        <v>383547.37008657894</v>
      </c>
      <c r="DS65" s="347">
        <v>-119536.94455333179</v>
      </c>
      <c r="DT65" s="347">
        <v>-138.64069811710215</v>
      </c>
      <c r="DU65" s="347">
        <v>-21984.538573772934</v>
      </c>
      <c r="DV65" s="347">
        <v>-30350.121843687757</v>
      </c>
      <c r="DW65" s="183"/>
    </row>
    <row r="66" spans="1:127" ht="27" customHeight="1" x14ac:dyDescent="0.3">
      <c r="B66" s="71"/>
      <c r="C66" s="45"/>
      <c r="D66" s="378"/>
      <c r="E66" s="75" t="s">
        <v>85</v>
      </c>
      <c r="F66" s="348">
        <f>SUM(G66:DV66)</f>
        <v>7807098.1700000009</v>
      </c>
      <c r="G66" s="349">
        <v>3533.6699999999996</v>
      </c>
      <c r="H66" s="349">
        <v>0</v>
      </c>
      <c r="I66" s="349">
        <v>0</v>
      </c>
      <c r="J66" s="349">
        <v>0</v>
      </c>
      <c r="K66" s="349">
        <v>52.59</v>
      </c>
      <c r="L66" s="349">
        <v>1165.0500000000002</v>
      </c>
      <c r="M66" s="349">
        <v>-139.88999999999999</v>
      </c>
      <c r="N66" s="349">
        <v>0</v>
      </c>
      <c r="O66" s="349">
        <v>0</v>
      </c>
      <c r="P66" s="349">
        <v>0</v>
      </c>
      <c r="Q66" s="349">
        <v>0</v>
      </c>
      <c r="R66" s="349">
        <v>0</v>
      </c>
      <c r="S66" s="349">
        <v>0</v>
      </c>
      <c r="T66" s="349">
        <v>0</v>
      </c>
      <c r="U66" s="349">
        <v>0</v>
      </c>
      <c r="V66" s="349">
        <v>926152.11</v>
      </c>
      <c r="W66" s="349">
        <v>180779.37</v>
      </c>
      <c r="X66" s="349">
        <v>26930.940000000002</v>
      </c>
      <c r="Y66" s="349">
        <v>29541.03</v>
      </c>
      <c r="Z66" s="349">
        <v>68052</v>
      </c>
      <c r="AA66" s="349">
        <v>2973947.12</v>
      </c>
      <c r="AB66" s="349">
        <v>570082.31999999995</v>
      </c>
      <c r="AC66" s="349">
        <v>125859.58000000002</v>
      </c>
      <c r="AD66" s="349">
        <v>82399.689999999988</v>
      </c>
      <c r="AE66" s="349">
        <v>217048.84000000003</v>
      </c>
      <c r="AF66" s="349">
        <v>1824314.23</v>
      </c>
      <c r="AG66" s="349">
        <v>388296.47</v>
      </c>
      <c r="AH66" s="349">
        <v>79888.240000000005</v>
      </c>
      <c r="AI66" s="349">
        <v>70655.78</v>
      </c>
      <c r="AJ66" s="349">
        <v>182356.97999999998</v>
      </c>
      <c r="AK66" s="349">
        <v>0</v>
      </c>
      <c r="AL66" s="349">
        <v>0</v>
      </c>
      <c r="AM66" s="349">
        <v>0</v>
      </c>
      <c r="AN66" s="349">
        <v>0</v>
      </c>
      <c r="AO66" s="349">
        <v>0</v>
      </c>
      <c r="AP66" s="349">
        <v>2210.69</v>
      </c>
      <c r="AQ66" s="349">
        <v>777.44999999999993</v>
      </c>
      <c r="AR66" s="349">
        <v>2096.86</v>
      </c>
      <c r="AS66" s="349">
        <v>226.60000000000002</v>
      </c>
      <c r="AT66" s="349">
        <v>0</v>
      </c>
      <c r="AU66" s="349">
        <v>33873.180000000008</v>
      </c>
      <c r="AV66" s="349">
        <v>2067.9500000000003</v>
      </c>
      <c r="AW66" s="349">
        <v>634.52</v>
      </c>
      <c r="AX66" s="349">
        <v>986.42</v>
      </c>
      <c r="AY66" s="349">
        <v>4801.49</v>
      </c>
      <c r="AZ66" s="349">
        <v>2479.5600000000004</v>
      </c>
      <c r="BA66" s="349">
        <v>0</v>
      </c>
      <c r="BB66" s="349">
        <v>401.90999999999997</v>
      </c>
      <c r="BC66" s="349">
        <v>479.08</v>
      </c>
      <c r="BD66" s="349">
        <v>0</v>
      </c>
      <c r="BE66" s="349">
        <v>4296.8300000000008</v>
      </c>
      <c r="BF66" s="349">
        <v>0</v>
      </c>
      <c r="BG66" s="349">
        <v>0</v>
      </c>
      <c r="BH66" s="349">
        <v>388.12</v>
      </c>
      <c r="BI66" s="349">
        <v>461.39000000000004</v>
      </c>
      <c r="BJ66" s="349">
        <v>0</v>
      </c>
      <c r="BK66" s="349">
        <v>0</v>
      </c>
      <c r="BL66" s="349">
        <v>0</v>
      </c>
      <c r="BM66" s="349">
        <v>0</v>
      </c>
      <c r="BN66" s="349">
        <v>0</v>
      </c>
      <c r="BO66" s="349">
        <v>0</v>
      </c>
      <c r="BP66" s="349">
        <v>0</v>
      </c>
      <c r="BQ66" s="349">
        <v>0</v>
      </c>
      <c r="BR66" s="349">
        <v>0</v>
      </c>
      <c r="BS66" s="349">
        <v>0</v>
      </c>
      <c r="BT66" s="349">
        <v>0</v>
      </c>
      <c r="BU66" s="349">
        <v>0</v>
      </c>
      <c r="BV66" s="349">
        <v>0</v>
      </c>
      <c r="BW66" s="349">
        <v>0</v>
      </c>
      <c r="BX66" s="349">
        <v>0</v>
      </c>
      <c r="BY66" s="349">
        <v>0</v>
      </c>
      <c r="BZ66" s="349">
        <v>0</v>
      </c>
      <c r="CA66" s="349">
        <v>0</v>
      </c>
      <c r="CB66" s="349">
        <v>0</v>
      </c>
      <c r="CC66" s="349">
        <v>0</v>
      </c>
      <c r="CD66" s="349">
        <v>0</v>
      </c>
      <c r="CE66" s="349">
        <v>0</v>
      </c>
      <c r="CF66" s="349">
        <v>0</v>
      </c>
      <c r="CG66" s="349">
        <v>0</v>
      </c>
      <c r="CH66" s="349">
        <v>0</v>
      </c>
      <c r="CI66" s="349">
        <v>0</v>
      </c>
      <c r="CJ66" s="349">
        <v>0</v>
      </c>
      <c r="CK66" s="349">
        <v>0</v>
      </c>
      <c r="CL66" s="349">
        <v>0</v>
      </c>
      <c r="CM66" s="349">
        <v>0</v>
      </c>
      <c r="CN66" s="349">
        <v>0</v>
      </c>
      <c r="CO66" s="349">
        <v>0</v>
      </c>
      <c r="CP66" s="349">
        <v>0</v>
      </c>
      <c r="CQ66" s="349">
        <v>0</v>
      </c>
      <c r="CR66" s="349">
        <v>0</v>
      </c>
      <c r="CS66" s="349">
        <v>0</v>
      </c>
      <c r="CT66" s="349">
        <v>0</v>
      </c>
      <c r="CU66" s="349">
        <v>0</v>
      </c>
      <c r="CV66" s="349">
        <v>0</v>
      </c>
      <c r="CW66" s="349">
        <v>0</v>
      </c>
      <c r="CX66" s="349">
        <v>0</v>
      </c>
      <c r="CY66" s="349">
        <v>0</v>
      </c>
      <c r="CZ66" s="349">
        <v>0</v>
      </c>
      <c r="DA66" s="349">
        <v>0</v>
      </c>
      <c r="DB66" s="349">
        <v>0</v>
      </c>
      <c r="DC66" s="349">
        <v>0</v>
      </c>
      <c r="DD66" s="349">
        <v>0</v>
      </c>
      <c r="DE66" s="349">
        <v>0</v>
      </c>
      <c r="DF66" s="349">
        <v>0</v>
      </c>
      <c r="DG66" s="349">
        <v>0</v>
      </c>
      <c r="DH66" s="349">
        <v>0</v>
      </c>
      <c r="DI66" s="349">
        <v>0</v>
      </c>
      <c r="DJ66" s="349">
        <v>0</v>
      </c>
      <c r="DK66" s="349">
        <v>0</v>
      </c>
      <c r="DL66" s="349">
        <v>0</v>
      </c>
      <c r="DM66" s="349">
        <v>0</v>
      </c>
      <c r="DN66" s="349">
        <v>0</v>
      </c>
      <c r="DO66" s="349">
        <v>0</v>
      </c>
      <c r="DP66" s="349">
        <v>0</v>
      </c>
      <c r="DQ66" s="349">
        <v>0</v>
      </c>
      <c r="DR66" s="349">
        <v>0</v>
      </c>
      <c r="DS66" s="349">
        <v>0</v>
      </c>
      <c r="DT66" s="349">
        <v>0</v>
      </c>
      <c r="DU66" s="349">
        <v>0</v>
      </c>
      <c r="DV66" s="349">
        <v>0</v>
      </c>
      <c r="DW66" s="183"/>
    </row>
    <row r="67" spans="1:127" ht="27" customHeight="1" x14ac:dyDescent="0.3">
      <c r="B67" s="71"/>
      <c r="C67" s="45"/>
      <c r="D67" s="378"/>
      <c r="E67" s="75" t="s">
        <v>86</v>
      </c>
      <c r="F67" s="350">
        <f t="shared" ref="F67:AK67" si="25">+F66/F65</f>
        <v>0.19937446730379518</v>
      </c>
      <c r="G67" s="340">
        <f t="shared" si="25"/>
        <v>4.2851819973192026E-4</v>
      </c>
      <c r="H67" s="340">
        <f t="shared" si="25"/>
        <v>0</v>
      </c>
      <c r="I67" s="340">
        <f t="shared" si="25"/>
        <v>0</v>
      </c>
      <c r="J67" s="340">
        <f t="shared" si="25"/>
        <v>0</v>
      </c>
      <c r="K67" s="340">
        <f t="shared" si="25"/>
        <v>6.4225126462561644E-5</v>
      </c>
      <c r="L67" s="340">
        <f t="shared" si="25"/>
        <v>2.5911044431467078E-4</v>
      </c>
      <c r="M67" s="340">
        <f t="shared" si="25"/>
        <v>-2.4012568295974306E-4</v>
      </c>
      <c r="N67" s="340">
        <f t="shared" si="25"/>
        <v>0</v>
      </c>
      <c r="O67" s="340">
        <f t="shared" si="25"/>
        <v>0</v>
      </c>
      <c r="P67" s="340">
        <f t="shared" si="25"/>
        <v>0</v>
      </c>
      <c r="Q67" s="340" t="e">
        <f t="shared" si="25"/>
        <v>#DIV/0!</v>
      </c>
      <c r="R67" s="340" t="e">
        <f t="shared" si="25"/>
        <v>#DIV/0!</v>
      </c>
      <c r="S67" s="340" t="e">
        <f t="shared" si="25"/>
        <v>#DIV/0!</v>
      </c>
      <c r="T67" s="340" t="e">
        <f t="shared" si="25"/>
        <v>#DIV/0!</v>
      </c>
      <c r="U67" s="340" t="e">
        <f t="shared" si="25"/>
        <v>#DIV/0!</v>
      </c>
      <c r="V67" s="340">
        <f t="shared" si="25"/>
        <v>0.2318703293940535</v>
      </c>
      <c r="W67" s="340">
        <f t="shared" si="25"/>
        <v>-0.61787215059643141</v>
      </c>
      <c r="X67" s="340">
        <f t="shared" si="25"/>
        <v>7.5249268618678811E-2</v>
      </c>
      <c r="Y67" s="340">
        <f t="shared" si="25"/>
        <v>0.40101544361281244</v>
      </c>
      <c r="Z67" s="340">
        <f t="shared" si="25"/>
        <v>0.1047805663728044</v>
      </c>
      <c r="AA67" s="340">
        <f t="shared" si="25"/>
        <v>0.27829624728223279</v>
      </c>
      <c r="AB67" s="340">
        <f t="shared" si="25"/>
        <v>0.81203998638309582</v>
      </c>
      <c r="AC67" s="340">
        <f t="shared" si="25"/>
        <v>0.10561687512877842</v>
      </c>
      <c r="AD67" s="340">
        <f t="shared" si="25"/>
        <v>-0.16637431992148016</v>
      </c>
      <c r="AE67" s="340">
        <f t="shared" si="25"/>
        <v>0.37446191303003978</v>
      </c>
      <c r="AF67" s="340">
        <f t="shared" si="25"/>
        <v>0.37933410427452074</v>
      </c>
      <c r="AG67" s="340">
        <f t="shared" si="25"/>
        <v>9.2187646827708525E-2</v>
      </c>
      <c r="AH67" s="340">
        <f t="shared" si="25"/>
        <v>0.19033976286729584</v>
      </c>
      <c r="AI67" s="340">
        <f t="shared" si="25"/>
        <v>-0.12698734376003878</v>
      </c>
      <c r="AJ67" s="340">
        <f t="shared" si="25"/>
        <v>0.21867355122140786</v>
      </c>
      <c r="AK67" s="340" t="e">
        <f t="shared" si="25"/>
        <v>#DIV/0!</v>
      </c>
      <c r="AL67" s="340" t="e">
        <f t="shared" ref="AL67:BQ67" si="26">+AL66/AL65</f>
        <v>#DIV/0!</v>
      </c>
      <c r="AM67" s="340" t="e">
        <f t="shared" si="26"/>
        <v>#DIV/0!</v>
      </c>
      <c r="AN67" s="340" t="e">
        <f t="shared" si="26"/>
        <v>#DIV/0!</v>
      </c>
      <c r="AO67" s="340" t="e">
        <f t="shared" si="26"/>
        <v>#DIV/0!</v>
      </c>
      <c r="AP67" s="340">
        <f t="shared" si="26"/>
        <v>-8.025224696406914E-3</v>
      </c>
      <c r="AQ67" s="340">
        <f t="shared" si="26"/>
        <v>4.2592557134844972E-3</v>
      </c>
      <c r="AR67" s="340">
        <f t="shared" si="26"/>
        <v>8.0079476780860175E-3</v>
      </c>
      <c r="AS67" s="340">
        <f t="shared" si="26"/>
        <v>-1.8480490051982477E-3</v>
      </c>
      <c r="AT67" s="340">
        <f t="shared" si="26"/>
        <v>0</v>
      </c>
      <c r="AU67" s="340">
        <f t="shared" si="26"/>
        <v>-3.0644360262042244E-3</v>
      </c>
      <c r="AV67" s="340">
        <f t="shared" si="26"/>
        <v>-4.3042850706556484E-4</v>
      </c>
      <c r="AW67" s="340">
        <f t="shared" si="26"/>
        <v>1.4472244303125553E-2</v>
      </c>
      <c r="AX67" s="340">
        <f t="shared" si="26"/>
        <v>-8.2063132477017294E-4</v>
      </c>
      <c r="AY67" s="340">
        <f t="shared" si="26"/>
        <v>-8.6653798700335027E-3</v>
      </c>
      <c r="AZ67" s="340">
        <f t="shared" si="26"/>
        <v>-1.9111019693394493E-3</v>
      </c>
      <c r="BA67" s="340">
        <f t="shared" si="26"/>
        <v>0</v>
      </c>
      <c r="BB67" s="340">
        <f t="shared" si="26"/>
        <v>2.1976717617538926E-3</v>
      </c>
      <c r="BC67" s="340">
        <f t="shared" si="26"/>
        <v>-5.9850873774674185E-3</v>
      </c>
      <c r="BD67" s="340">
        <f t="shared" si="26"/>
        <v>0</v>
      </c>
      <c r="BE67" s="340">
        <f t="shared" si="26"/>
        <v>-1.31359894341474E-3</v>
      </c>
      <c r="BF67" s="340">
        <f t="shared" si="26"/>
        <v>0</v>
      </c>
      <c r="BG67" s="340">
        <f t="shared" si="26"/>
        <v>0</v>
      </c>
      <c r="BH67" s="340">
        <f t="shared" si="26"/>
        <v>-5.1056490473117054E-4</v>
      </c>
      <c r="BI67" s="340">
        <f t="shared" si="26"/>
        <v>-1.0993072297410791E-3</v>
      </c>
      <c r="BJ67" s="340">
        <f t="shared" si="26"/>
        <v>0</v>
      </c>
      <c r="BK67" s="340">
        <f t="shared" si="26"/>
        <v>0</v>
      </c>
      <c r="BL67" s="340" t="e">
        <f t="shared" si="26"/>
        <v>#DIV/0!</v>
      </c>
      <c r="BM67" s="340">
        <f t="shared" si="26"/>
        <v>0</v>
      </c>
      <c r="BN67" s="340">
        <f t="shared" si="26"/>
        <v>0</v>
      </c>
      <c r="BO67" s="340">
        <f t="shared" si="26"/>
        <v>0</v>
      </c>
      <c r="BP67" s="340">
        <f t="shared" si="26"/>
        <v>0</v>
      </c>
      <c r="BQ67" s="340">
        <f t="shared" si="26"/>
        <v>0</v>
      </c>
      <c r="BR67" s="340">
        <f t="shared" ref="BR67:CW67" si="27">+BR66/BR65</f>
        <v>0</v>
      </c>
      <c r="BS67" s="340">
        <f t="shared" si="27"/>
        <v>0</v>
      </c>
      <c r="BT67" s="340">
        <f t="shared" si="27"/>
        <v>0</v>
      </c>
      <c r="BU67" s="340">
        <f t="shared" si="27"/>
        <v>0</v>
      </c>
      <c r="BV67" s="340">
        <f t="shared" si="27"/>
        <v>0</v>
      </c>
      <c r="BW67" s="340">
        <f t="shared" si="27"/>
        <v>0</v>
      </c>
      <c r="BX67" s="340">
        <f t="shared" si="27"/>
        <v>0</v>
      </c>
      <c r="BY67" s="340" t="e">
        <f t="shared" si="27"/>
        <v>#DIV/0!</v>
      </c>
      <c r="BZ67" s="340" t="e">
        <f t="shared" si="27"/>
        <v>#DIV/0!</v>
      </c>
      <c r="CA67" s="340" t="e">
        <f t="shared" si="27"/>
        <v>#DIV/0!</v>
      </c>
      <c r="CB67" s="340" t="e">
        <f t="shared" si="27"/>
        <v>#DIV/0!</v>
      </c>
      <c r="CC67" s="340" t="e">
        <f t="shared" si="27"/>
        <v>#DIV/0!</v>
      </c>
      <c r="CD67" s="340">
        <f t="shared" si="27"/>
        <v>0</v>
      </c>
      <c r="CE67" s="340">
        <f t="shared" si="27"/>
        <v>0</v>
      </c>
      <c r="CF67" s="340">
        <f t="shared" si="27"/>
        <v>0</v>
      </c>
      <c r="CG67" s="340">
        <f t="shared" si="27"/>
        <v>0</v>
      </c>
      <c r="CH67" s="340">
        <f t="shared" si="27"/>
        <v>0</v>
      </c>
      <c r="CI67" s="340">
        <f t="shared" si="27"/>
        <v>0</v>
      </c>
      <c r="CJ67" s="340">
        <f t="shared" si="27"/>
        <v>0</v>
      </c>
      <c r="CK67" s="340">
        <f t="shared" si="27"/>
        <v>0</v>
      </c>
      <c r="CL67" s="340">
        <f t="shared" si="27"/>
        <v>0</v>
      </c>
      <c r="CM67" s="340">
        <f t="shared" si="27"/>
        <v>0</v>
      </c>
      <c r="CN67" s="340">
        <f t="shared" si="27"/>
        <v>0</v>
      </c>
      <c r="CO67" s="340">
        <f t="shared" si="27"/>
        <v>0</v>
      </c>
      <c r="CP67" s="340">
        <f t="shared" si="27"/>
        <v>0</v>
      </c>
      <c r="CQ67" s="340">
        <f t="shared" si="27"/>
        <v>0</v>
      </c>
      <c r="CR67" s="340">
        <f t="shared" si="27"/>
        <v>0</v>
      </c>
      <c r="CS67" s="340" t="e">
        <f t="shared" si="27"/>
        <v>#DIV/0!</v>
      </c>
      <c r="CT67" s="340" t="e">
        <f t="shared" si="27"/>
        <v>#DIV/0!</v>
      </c>
      <c r="CU67" s="340" t="e">
        <f t="shared" si="27"/>
        <v>#DIV/0!</v>
      </c>
      <c r="CV67" s="340" t="e">
        <f t="shared" si="27"/>
        <v>#DIV/0!</v>
      </c>
      <c r="CW67" s="340" t="e">
        <f t="shared" si="27"/>
        <v>#DIV/0!</v>
      </c>
      <c r="CX67" s="340">
        <f t="shared" ref="CX67:DV67" si="28">+CX66/CX65</f>
        <v>0</v>
      </c>
      <c r="CY67" s="340">
        <f t="shared" si="28"/>
        <v>0</v>
      </c>
      <c r="CZ67" s="340">
        <f t="shared" si="28"/>
        <v>0</v>
      </c>
      <c r="DA67" s="340">
        <f t="shared" si="28"/>
        <v>0</v>
      </c>
      <c r="DB67" s="340">
        <f t="shared" si="28"/>
        <v>0</v>
      </c>
      <c r="DC67" s="340">
        <f t="shared" si="28"/>
        <v>0</v>
      </c>
      <c r="DD67" s="340">
        <f t="shared" si="28"/>
        <v>0</v>
      </c>
      <c r="DE67" s="340">
        <f t="shared" si="28"/>
        <v>0</v>
      </c>
      <c r="DF67" s="340">
        <f t="shared" si="28"/>
        <v>0</v>
      </c>
      <c r="DG67" s="340">
        <f t="shared" si="28"/>
        <v>0</v>
      </c>
      <c r="DH67" s="340">
        <f t="shared" si="28"/>
        <v>0</v>
      </c>
      <c r="DI67" s="340">
        <f t="shared" si="28"/>
        <v>0</v>
      </c>
      <c r="DJ67" s="340">
        <f t="shared" si="28"/>
        <v>0</v>
      </c>
      <c r="DK67" s="340">
        <f t="shared" si="28"/>
        <v>0</v>
      </c>
      <c r="DL67" s="340">
        <f t="shared" si="28"/>
        <v>0</v>
      </c>
      <c r="DM67" s="340">
        <f t="shared" si="28"/>
        <v>0</v>
      </c>
      <c r="DN67" s="340">
        <f t="shared" si="28"/>
        <v>0</v>
      </c>
      <c r="DO67" s="340">
        <f t="shared" si="28"/>
        <v>0</v>
      </c>
      <c r="DP67" s="340">
        <f t="shared" si="28"/>
        <v>0</v>
      </c>
      <c r="DQ67" s="340">
        <f t="shared" si="28"/>
        <v>0</v>
      </c>
      <c r="DR67" s="340">
        <f t="shared" si="28"/>
        <v>0</v>
      </c>
      <c r="DS67" s="340">
        <f t="shared" si="28"/>
        <v>0</v>
      </c>
      <c r="DT67" s="340">
        <f t="shared" si="28"/>
        <v>0</v>
      </c>
      <c r="DU67" s="340">
        <f t="shared" si="28"/>
        <v>0</v>
      </c>
      <c r="DV67" s="340">
        <f t="shared" si="28"/>
        <v>0</v>
      </c>
      <c r="DW67" s="183"/>
    </row>
    <row r="68" spans="1:127" ht="12.75" customHeight="1" x14ac:dyDescent="0.3">
      <c r="A68" s="258" t="str">
        <f>IF(ABS(B68/F68-1)&lt;0.1,"OK","WARNING")</f>
        <v>WARNING</v>
      </c>
      <c r="B68" s="69">
        <f>+'Wksh 1 - Market Experience'!F15</f>
        <v>335891818.72158289</v>
      </c>
      <c r="C68" s="45"/>
      <c r="D68" s="378"/>
      <c r="E68" s="73" t="s">
        <v>84</v>
      </c>
      <c r="F68" s="343">
        <f>SUM(G68:DV68)</f>
        <v>392727472.14842516</v>
      </c>
      <c r="G68" s="344">
        <f t="shared" ref="G68:AL68" si="29">+G61-G65</f>
        <v>12089453.880356289</v>
      </c>
      <c r="H68" s="344">
        <f t="shared" si="29"/>
        <v>1553792.8960999991</v>
      </c>
      <c r="I68" s="344">
        <f t="shared" si="29"/>
        <v>88505.296098628023</v>
      </c>
      <c r="J68" s="344">
        <f t="shared" si="29"/>
        <v>349624.98081303341</v>
      </c>
      <c r="K68" s="344">
        <f t="shared" si="29"/>
        <v>1309227.3536827569</v>
      </c>
      <c r="L68" s="344">
        <f t="shared" si="29"/>
        <v>6490745.7053628955</v>
      </c>
      <c r="M68" s="344">
        <f t="shared" si="29"/>
        <v>2605909.5452142395</v>
      </c>
      <c r="N68" s="344">
        <f t="shared" si="29"/>
        <v>642528.72715966427</v>
      </c>
      <c r="O68" s="344">
        <f t="shared" si="29"/>
        <v>196208.70279599456</v>
      </c>
      <c r="P68" s="344">
        <f t="shared" si="29"/>
        <v>461187.40461832937</v>
      </c>
      <c r="Q68" s="344">
        <f t="shared" si="29"/>
        <v>0</v>
      </c>
      <c r="R68" s="344">
        <f t="shared" si="29"/>
        <v>0</v>
      </c>
      <c r="S68" s="344">
        <f t="shared" si="29"/>
        <v>0</v>
      </c>
      <c r="T68" s="344">
        <f t="shared" si="29"/>
        <v>0</v>
      </c>
      <c r="U68" s="344">
        <f t="shared" si="29"/>
        <v>0</v>
      </c>
      <c r="V68" s="344">
        <f t="shared" si="29"/>
        <v>19521538.955842</v>
      </c>
      <c r="W68" s="344">
        <f t="shared" si="29"/>
        <v>3839013.5301148556</v>
      </c>
      <c r="X68" s="344">
        <f t="shared" si="29"/>
        <v>458750.24912342918</v>
      </c>
      <c r="Y68" s="344">
        <f t="shared" si="29"/>
        <v>918259.34221627552</v>
      </c>
      <c r="Z68" s="344">
        <f t="shared" si="29"/>
        <v>2675519.0823885491</v>
      </c>
      <c r="AA68" s="344">
        <f t="shared" si="29"/>
        <v>31702771.64809157</v>
      </c>
      <c r="AB68" s="344">
        <f t="shared" si="29"/>
        <v>8159918.234562221</v>
      </c>
      <c r="AC68" s="344">
        <f t="shared" si="29"/>
        <v>1649143.1288974555</v>
      </c>
      <c r="AD68" s="344">
        <f t="shared" si="29"/>
        <v>1752407.9580993361</v>
      </c>
      <c r="AE68" s="344">
        <f t="shared" si="29"/>
        <v>2727442.0558446227</v>
      </c>
      <c r="AF68" s="344">
        <f t="shared" si="29"/>
        <v>21787583.672060333</v>
      </c>
      <c r="AG68" s="344">
        <f t="shared" si="29"/>
        <v>5220136.0700531621</v>
      </c>
      <c r="AH68" s="344">
        <f t="shared" si="29"/>
        <v>1220493.2427617274</v>
      </c>
      <c r="AI68" s="344">
        <f t="shared" si="29"/>
        <v>1560568.1437619277</v>
      </c>
      <c r="AJ68" s="344">
        <f t="shared" si="29"/>
        <v>3968495.5739945639</v>
      </c>
      <c r="AK68" s="344">
        <f t="shared" si="29"/>
        <v>0</v>
      </c>
      <c r="AL68" s="344">
        <f t="shared" si="29"/>
        <v>0</v>
      </c>
      <c r="AM68" s="344">
        <f t="shared" ref="AM68:BR68" si="30">+AM61-AM65</f>
        <v>0</v>
      </c>
      <c r="AN68" s="344">
        <f t="shared" si="30"/>
        <v>0</v>
      </c>
      <c r="AO68" s="344">
        <f t="shared" si="30"/>
        <v>0</v>
      </c>
      <c r="AP68" s="344">
        <f t="shared" si="30"/>
        <v>4707763.2537026051</v>
      </c>
      <c r="AQ68" s="344">
        <f t="shared" si="30"/>
        <v>1134888.0858630608</v>
      </c>
      <c r="AR68" s="344">
        <f t="shared" si="30"/>
        <v>22776.728604558011</v>
      </c>
      <c r="AS68" s="344">
        <f t="shared" si="30"/>
        <v>341786.78785309917</v>
      </c>
      <c r="AT68" s="344">
        <f t="shared" si="30"/>
        <v>363391.2652620232</v>
      </c>
      <c r="AU68" s="344">
        <f t="shared" si="30"/>
        <v>44373706.345016487</v>
      </c>
      <c r="AV68" s="344">
        <f t="shared" si="30"/>
        <v>12987389.643544525</v>
      </c>
      <c r="AW68" s="344">
        <f t="shared" si="30"/>
        <v>1609179.4984054766</v>
      </c>
      <c r="AX68" s="344">
        <f t="shared" si="30"/>
        <v>3542640.3850443112</v>
      </c>
      <c r="AY68" s="344">
        <f t="shared" si="30"/>
        <v>6361899.4678249247</v>
      </c>
      <c r="AZ68" s="344">
        <f t="shared" si="30"/>
        <v>5064103.3346273415</v>
      </c>
      <c r="BA68" s="344">
        <f t="shared" si="30"/>
        <v>1338341.3836395985</v>
      </c>
      <c r="BB68" s="344">
        <f t="shared" si="30"/>
        <v>285387.84921470052</v>
      </c>
      <c r="BC68" s="344">
        <f t="shared" si="30"/>
        <v>614920.06447838875</v>
      </c>
      <c r="BD68" s="344">
        <f t="shared" si="30"/>
        <v>546430.47428661527</v>
      </c>
      <c r="BE68" s="344">
        <f t="shared" si="30"/>
        <v>9329068.1035822406</v>
      </c>
      <c r="BF68" s="344">
        <f t="shared" si="30"/>
        <v>2334357.1888907328</v>
      </c>
      <c r="BG68" s="344">
        <f t="shared" si="30"/>
        <v>272682.51884081197</v>
      </c>
      <c r="BH68" s="344">
        <f t="shared" si="30"/>
        <v>1415076.1262692404</v>
      </c>
      <c r="BI68" s="344">
        <f t="shared" si="30"/>
        <v>1171955.0245489758</v>
      </c>
      <c r="BJ68" s="344">
        <f t="shared" si="30"/>
        <v>483445.59692048037</v>
      </c>
      <c r="BK68" s="344">
        <f t="shared" si="30"/>
        <v>260803.45685558632</v>
      </c>
      <c r="BL68" s="344">
        <f t="shared" si="30"/>
        <v>2.8388219686073244</v>
      </c>
      <c r="BM68" s="344">
        <f t="shared" si="30"/>
        <v>39591.035153491619</v>
      </c>
      <c r="BN68" s="344">
        <f t="shared" si="30"/>
        <v>29708.238809883384</v>
      </c>
      <c r="BO68" s="344">
        <f t="shared" si="30"/>
        <v>27294129.681334764</v>
      </c>
      <c r="BP68" s="344">
        <f t="shared" si="30"/>
        <v>2492499.9692142312</v>
      </c>
      <c r="BQ68" s="344">
        <f t="shared" si="30"/>
        <v>271565.14637607068</v>
      </c>
      <c r="BR68" s="344">
        <f t="shared" si="30"/>
        <v>420469.03333982796</v>
      </c>
      <c r="BS68" s="344">
        <f t="shared" ref="BS68:CX68" si="31">+BS61-BS65</f>
        <v>1824599.9305850812</v>
      </c>
      <c r="BT68" s="344">
        <f t="shared" si="31"/>
        <v>7629985.4247376565</v>
      </c>
      <c r="BU68" s="344">
        <f t="shared" si="31"/>
        <v>1116709.3046071953</v>
      </c>
      <c r="BV68" s="344">
        <f t="shared" si="31"/>
        <v>152593.90197892839</v>
      </c>
      <c r="BW68" s="344">
        <f t="shared" si="31"/>
        <v>80900.796679410007</v>
      </c>
      <c r="BX68" s="344">
        <f t="shared" si="31"/>
        <v>971252.59791093436</v>
      </c>
      <c r="BY68" s="344">
        <f t="shared" si="31"/>
        <v>0</v>
      </c>
      <c r="BZ68" s="344">
        <f t="shared" si="31"/>
        <v>0</v>
      </c>
      <c r="CA68" s="344">
        <f t="shared" si="31"/>
        <v>0</v>
      </c>
      <c r="CB68" s="344">
        <f t="shared" si="31"/>
        <v>0</v>
      </c>
      <c r="CC68" s="344">
        <f t="shared" si="31"/>
        <v>0</v>
      </c>
      <c r="CD68" s="344">
        <f t="shared" si="31"/>
        <v>19737463.235547625</v>
      </c>
      <c r="CE68" s="344">
        <f t="shared" si="31"/>
        <v>2654758.3558267932</v>
      </c>
      <c r="CF68" s="344">
        <f t="shared" si="31"/>
        <v>146602.28796571979</v>
      </c>
      <c r="CG68" s="344">
        <f t="shared" si="31"/>
        <v>288672.56867880782</v>
      </c>
      <c r="CH68" s="344">
        <f t="shared" si="31"/>
        <v>1226934.559457687</v>
      </c>
      <c r="CI68" s="344">
        <f t="shared" si="31"/>
        <v>13833784.843392005</v>
      </c>
      <c r="CJ68" s="344">
        <f t="shared" si="31"/>
        <v>2227578.0520548709</v>
      </c>
      <c r="CK68" s="344">
        <f t="shared" si="31"/>
        <v>225158.29805288359</v>
      </c>
      <c r="CL68" s="344">
        <f t="shared" si="31"/>
        <v>256114.5029422933</v>
      </c>
      <c r="CM68" s="344">
        <f t="shared" si="31"/>
        <v>961015.19732781523</v>
      </c>
      <c r="CN68" s="344">
        <f t="shared" si="31"/>
        <v>5572817.3770635864</v>
      </c>
      <c r="CO68" s="344">
        <f t="shared" si="31"/>
        <v>1722684.4317614869</v>
      </c>
      <c r="CP68" s="344">
        <f t="shared" si="31"/>
        <v>56452.569187712383</v>
      </c>
      <c r="CQ68" s="344">
        <f t="shared" si="31"/>
        <v>344827.58721340873</v>
      </c>
      <c r="CR68" s="344">
        <f t="shared" si="31"/>
        <v>434029.25654985441</v>
      </c>
      <c r="CS68" s="344">
        <f t="shared" si="31"/>
        <v>0</v>
      </c>
      <c r="CT68" s="344">
        <f t="shared" si="31"/>
        <v>0</v>
      </c>
      <c r="CU68" s="344">
        <f t="shared" si="31"/>
        <v>0</v>
      </c>
      <c r="CV68" s="344">
        <f t="shared" si="31"/>
        <v>0</v>
      </c>
      <c r="CW68" s="344">
        <f t="shared" si="31"/>
        <v>0</v>
      </c>
      <c r="CX68" s="344">
        <f t="shared" si="31"/>
        <v>6707417.8439429663</v>
      </c>
      <c r="CY68" s="344">
        <f t="shared" ref="CY68:DV68" si="32">+CY61-CY65</f>
        <v>956306.87275583204</v>
      </c>
      <c r="CZ68" s="344">
        <f t="shared" si="32"/>
        <v>65452.780078853379</v>
      </c>
      <c r="DA68" s="344">
        <f t="shared" si="32"/>
        <v>74802.422963734454</v>
      </c>
      <c r="DB68" s="344">
        <f t="shared" si="32"/>
        <v>292769.29975388345</v>
      </c>
      <c r="DC68" s="344">
        <f t="shared" si="32"/>
        <v>26426790.803829741</v>
      </c>
      <c r="DD68" s="344">
        <f t="shared" si="32"/>
        <v>10421221.835602559</v>
      </c>
      <c r="DE68" s="344">
        <f t="shared" si="32"/>
        <v>613842.43312253314</v>
      </c>
      <c r="DF68" s="344">
        <f t="shared" si="32"/>
        <v>1992815.9941464504</v>
      </c>
      <c r="DG68" s="344">
        <f t="shared" si="32"/>
        <v>3865663.0340193026</v>
      </c>
      <c r="DH68" s="344">
        <f t="shared" si="32"/>
        <v>4213293.8436813299</v>
      </c>
      <c r="DI68" s="344">
        <f t="shared" si="32"/>
        <v>1270564.3525973826</v>
      </c>
      <c r="DJ68" s="344">
        <f t="shared" si="32"/>
        <v>76830.531628318509</v>
      </c>
      <c r="DK68" s="344">
        <f t="shared" si="32"/>
        <v>514513.44161237439</v>
      </c>
      <c r="DL68" s="344">
        <f t="shared" si="32"/>
        <v>442847.35198554152</v>
      </c>
      <c r="DM68" s="344">
        <f t="shared" si="32"/>
        <v>6211756.72012363</v>
      </c>
      <c r="DN68" s="344">
        <f t="shared" si="32"/>
        <v>1682044.9305878091</v>
      </c>
      <c r="DO68" s="344">
        <f t="shared" si="32"/>
        <v>508058.95673045021</v>
      </c>
      <c r="DP68" s="344">
        <f t="shared" si="32"/>
        <v>536600.49903398892</v>
      </c>
      <c r="DQ68" s="344">
        <f t="shared" si="32"/>
        <v>796100.85316165001</v>
      </c>
      <c r="DR68" s="344">
        <f t="shared" si="32"/>
        <v>1012882.2816790692</v>
      </c>
      <c r="DS68" s="344">
        <f t="shared" si="32"/>
        <v>408009.69562187663</v>
      </c>
      <c r="DT68" s="344">
        <f t="shared" si="32"/>
        <v>14167.980457678226</v>
      </c>
      <c r="DU68" s="344">
        <f t="shared" si="32"/>
        <v>36855.377095045376</v>
      </c>
      <c r="DV68" s="344">
        <f t="shared" si="32"/>
        <v>61743.026351676795</v>
      </c>
      <c r="DW68" s="183"/>
    </row>
    <row r="69" spans="1:127" x14ac:dyDescent="0.3">
      <c r="B69" s="76"/>
      <c r="C69" s="45"/>
      <c r="D69" s="249"/>
      <c r="E69" s="73"/>
      <c r="F69" s="42"/>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183"/>
    </row>
    <row r="70" spans="1:127" x14ac:dyDescent="0.3">
      <c r="A70" s="258"/>
      <c r="B70" s="275"/>
      <c r="C70" s="45"/>
      <c r="D70" s="249"/>
      <c r="E70" s="73" t="s">
        <v>94</v>
      </c>
      <c r="F70" s="341">
        <f>SUM(G70:DV70)</f>
        <v>12795451.875913395</v>
      </c>
      <c r="G70" s="342">
        <v>499414.37355372286</v>
      </c>
      <c r="H70" s="342">
        <v>26466.379839619745</v>
      </c>
      <c r="I70" s="342">
        <v>14853.718362778349</v>
      </c>
      <c r="J70" s="342">
        <v>-798.31544178330682</v>
      </c>
      <c r="K70" s="342">
        <v>153197.4529256493</v>
      </c>
      <c r="L70" s="342">
        <v>566012.04600331781</v>
      </c>
      <c r="M70" s="342">
        <v>166093.87145695282</v>
      </c>
      <c r="N70" s="342">
        <v>114794.88143240999</v>
      </c>
      <c r="O70" s="342">
        <v>-681.37909538124507</v>
      </c>
      <c r="P70" s="342">
        <v>13228.894881196275</v>
      </c>
      <c r="Q70" s="342">
        <v>0</v>
      </c>
      <c r="R70" s="342">
        <v>0</v>
      </c>
      <c r="S70" s="342">
        <v>0</v>
      </c>
      <c r="T70" s="342">
        <v>0</v>
      </c>
      <c r="U70" s="342">
        <v>0</v>
      </c>
      <c r="V70" s="342">
        <v>630285.2187728089</v>
      </c>
      <c r="W70" s="342">
        <v>4471.0532427030121</v>
      </c>
      <c r="X70" s="342">
        <v>19622.263468674861</v>
      </c>
      <c r="Y70" s="342">
        <v>46094.235973065224</v>
      </c>
      <c r="Z70" s="342">
        <v>184930.61639432417</v>
      </c>
      <c r="AA70" s="342">
        <v>1019475.1383954409</v>
      </c>
      <c r="AB70" s="342">
        <v>288001.75955271057</v>
      </c>
      <c r="AC70" s="342">
        <v>161269.55793792068</v>
      </c>
      <c r="AD70" s="342">
        <v>-6195.377583416931</v>
      </c>
      <c r="AE70" s="342">
        <v>105879.59847269331</v>
      </c>
      <c r="AF70" s="342">
        <v>675678.39457375021</v>
      </c>
      <c r="AG70" s="342">
        <v>615103.71099337342</v>
      </c>
      <c r="AH70" s="342">
        <v>56278.379195987713</v>
      </c>
      <c r="AI70" s="342">
        <v>-5754.6175085168516</v>
      </c>
      <c r="AJ70" s="342">
        <v>369380.83542062319</v>
      </c>
      <c r="AK70" s="342">
        <v>0</v>
      </c>
      <c r="AL70" s="342">
        <v>0</v>
      </c>
      <c r="AM70" s="342">
        <v>0</v>
      </c>
      <c r="AN70" s="342">
        <v>0</v>
      </c>
      <c r="AO70" s="342">
        <v>0</v>
      </c>
      <c r="AP70" s="342">
        <v>70485.643523470266</v>
      </c>
      <c r="AQ70" s="342">
        <v>76852.417974207172</v>
      </c>
      <c r="AR70" s="342">
        <v>-1711.3184540763282</v>
      </c>
      <c r="AS70" s="342">
        <v>-1155.8708086665345</v>
      </c>
      <c r="AT70" s="342">
        <v>-2572.5996208453607</v>
      </c>
      <c r="AU70" s="342">
        <v>1548364.0495898894</v>
      </c>
      <c r="AV70" s="342">
        <v>133684.31459298532</v>
      </c>
      <c r="AW70" s="342">
        <v>117438.70663891295</v>
      </c>
      <c r="AX70" s="342">
        <v>97486.083424135417</v>
      </c>
      <c r="AY70" s="342">
        <v>309957.3576732272</v>
      </c>
      <c r="AZ70" s="342">
        <v>118860.20653459974</v>
      </c>
      <c r="BA70" s="342">
        <v>-7046.2680328174065</v>
      </c>
      <c r="BB70" s="342">
        <v>14197.533090683783</v>
      </c>
      <c r="BC70" s="342">
        <v>28375.496367454201</v>
      </c>
      <c r="BD70" s="342">
        <v>43366.084787571177</v>
      </c>
      <c r="BE70" s="342">
        <v>39840.457453073162</v>
      </c>
      <c r="BF70" s="342">
        <v>-15166.752601614195</v>
      </c>
      <c r="BG70" s="342">
        <v>-2032.8934066819984</v>
      </c>
      <c r="BH70" s="342">
        <v>-4029.4071679758126</v>
      </c>
      <c r="BI70" s="342">
        <v>33806.859669931007</v>
      </c>
      <c r="BJ70" s="342">
        <v>-10528.768727970262</v>
      </c>
      <c r="BK70" s="342">
        <v>-3436.1295635067404</v>
      </c>
      <c r="BL70" s="342">
        <v>0</v>
      </c>
      <c r="BM70" s="342">
        <v>-407.02843651486916</v>
      </c>
      <c r="BN70" s="342">
        <v>-483.48681685467881</v>
      </c>
      <c r="BO70" s="342">
        <v>1720424.9698029968</v>
      </c>
      <c r="BP70" s="342">
        <v>-706.28264022779513</v>
      </c>
      <c r="BQ70" s="342">
        <v>10137.280641304917</v>
      </c>
      <c r="BR70" s="342">
        <v>-1171.6122399129658</v>
      </c>
      <c r="BS70" s="342">
        <v>52404.092347500802</v>
      </c>
      <c r="BT70" s="342">
        <v>391694.25120930892</v>
      </c>
      <c r="BU70" s="342">
        <v>194677.02085542507</v>
      </c>
      <c r="BV70" s="342">
        <v>-679.13031948889773</v>
      </c>
      <c r="BW70" s="342">
        <v>-155.1655365719667</v>
      </c>
      <c r="BX70" s="342">
        <v>20192.684092418316</v>
      </c>
      <c r="BY70" s="342">
        <v>0</v>
      </c>
      <c r="BZ70" s="342">
        <v>0</v>
      </c>
      <c r="CA70" s="342">
        <v>0</v>
      </c>
      <c r="CB70" s="342">
        <v>0</v>
      </c>
      <c r="CC70" s="342">
        <v>0</v>
      </c>
      <c r="CD70" s="342">
        <v>350134.32506769011</v>
      </c>
      <c r="CE70" s="342">
        <v>17992.237982352104</v>
      </c>
      <c r="CF70" s="342">
        <v>-1056.9246694032513</v>
      </c>
      <c r="CG70" s="342">
        <v>-1036.6856863721252</v>
      </c>
      <c r="CH70" s="342">
        <v>-9784.42390760329</v>
      </c>
      <c r="CI70" s="342">
        <v>619109.81248396158</v>
      </c>
      <c r="CJ70" s="342">
        <v>50579.669413598538</v>
      </c>
      <c r="CK70" s="342">
        <v>-1443.7141228869943</v>
      </c>
      <c r="CL70" s="342">
        <v>-1198.5975506211339</v>
      </c>
      <c r="CM70" s="342">
        <v>-7110.6293716022992</v>
      </c>
      <c r="CN70" s="342">
        <v>497105.60855330317</v>
      </c>
      <c r="CO70" s="342">
        <v>71973.629219366965</v>
      </c>
      <c r="CP70" s="342">
        <v>-607.16949093378264</v>
      </c>
      <c r="CQ70" s="342">
        <v>13448.037834987113</v>
      </c>
      <c r="CR70" s="342">
        <v>-4200.7133669048371</v>
      </c>
      <c r="CS70" s="342">
        <v>0</v>
      </c>
      <c r="CT70" s="342">
        <v>0</v>
      </c>
      <c r="CU70" s="342">
        <v>0</v>
      </c>
      <c r="CV70" s="342">
        <v>0</v>
      </c>
      <c r="CW70" s="342">
        <v>0</v>
      </c>
      <c r="CX70" s="342">
        <v>80307.24467140621</v>
      </c>
      <c r="CY70" s="342">
        <v>-8023.6323838953213</v>
      </c>
      <c r="CZ70" s="342">
        <v>-366.55047045261693</v>
      </c>
      <c r="DA70" s="342">
        <v>-503.72579988580492</v>
      </c>
      <c r="DB70" s="342">
        <v>-2723.2676056326327</v>
      </c>
      <c r="DC70" s="342">
        <v>228396.58149423794</v>
      </c>
      <c r="DD70" s="342">
        <v>112411.59622896547</v>
      </c>
      <c r="DE70" s="342">
        <v>-3894.8798455455985</v>
      </c>
      <c r="DF70" s="342">
        <v>-4951.2256044906817</v>
      </c>
      <c r="DG70" s="342">
        <v>59568.770295893533</v>
      </c>
      <c r="DH70" s="342">
        <v>-14242.502904813242</v>
      </c>
      <c r="DI70" s="342">
        <v>20397.986450499207</v>
      </c>
      <c r="DJ70" s="342">
        <v>-611.66704271847743</v>
      </c>
      <c r="DK70" s="342">
        <v>-1630.362521951824</v>
      </c>
      <c r="DL70" s="342">
        <v>-3193.2617671332273</v>
      </c>
      <c r="DM70" s="342">
        <v>-35932.049208195414</v>
      </c>
      <c r="DN70" s="342">
        <v>-12802.281155133425</v>
      </c>
      <c r="DO70" s="342">
        <v>138256.27312697028</v>
      </c>
      <c r="DP70" s="342">
        <v>-2280.2587548402062</v>
      </c>
      <c r="DQ70" s="342">
        <v>-7576.1259813181996</v>
      </c>
      <c r="DR70" s="342">
        <v>-20119.797908831682</v>
      </c>
      <c r="DS70" s="342">
        <v>-5347.5890720019825</v>
      </c>
      <c r="DT70" s="342">
        <v>-191.14595084952418</v>
      </c>
      <c r="DU70" s="342">
        <v>-294.58964189750196</v>
      </c>
      <c r="DV70" s="342">
        <v>-1171.6122399129658</v>
      </c>
      <c r="DW70" s="183"/>
    </row>
    <row r="71" spans="1:127" x14ac:dyDescent="0.3">
      <c r="B71" s="71"/>
      <c r="C71" s="45"/>
      <c r="D71" s="77"/>
      <c r="E71" s="73" t="s">
        <v>93</v>
      </c>
      <c r="F71" s="341">
        <f>SUM(G71:DV71)</f>
        <v>-59206916.48887983</v>
      </c>
      <c r="G71" s="342">
        <v>5775306.8152707294</v>
      </c>
      <c r="H71" s="342">
        <v>477360.77058036078</v>
      </c>
      <c r="I71" s="342">
        <v>335984.40622942866</v>
      </c>
      <c r="J71" s="342">
        <v>-13139.706639013501</v>
      </c>
      <c r="K71" s="342">
        <v>462401.94005237811</v>
      </c>
      <c r="L71" s="342">
        <v>2525955.7004148103</v>
      </c>
      <c r="M71" s="342">
        <v>76670.192723008615</v>
      </c>
      <c r="N71" s="342">
        <v>167273.18762898285</v>
      </c>
      <c r="O71" s="342">
        <v>-445.69754600034327</v>
      </c>
      <c r="P71" s="342">
        <v>210500.22960016836</v>
      </c>
      <c r="Q71" s="342">
        <v>0</v>
      </c>
      <c r="R71" s="342">
        <v>0</v>
      </c>
      <c r="S71" s="342">
        <v>0</v>
      </c>
      <c r="T71" s="342">
        <v>0</v>
      </c>
      <c r="U71" s="342">
        <v>0</v>
      </c>
      <c r="V71" s="342">
        <v>-1526765.1881254953</v>
      </c>
      <c r="W71" s="342">
        <v>-1190398.0684393588</v>
      </c>
      <c r="X71" s="342">
        <v>168854.70522377267</v>
      </c>
      <c r="Y71" s="342">
        <v>-89117.907984227058</v>
      </c>
      <c r="Z71" s="342">
        <v>3832.2698219520898</v>
      </c>
      <c r="AA71" s="342">
        <v>1204986.0677515706</v>
      </c>
      <c r="AB71" s="342">
        <v>-1294436.9033018942</v>
      </c>
      <c r="AC71" s="342">
        <v>536708.97196705663</v>
      </c>
      <c r="AD71" s="342">
        <v>-696954.41027240176</v>
      </c>
      <c r="AE71" s="342">
        <v>-259156.23316713455</v>
      </c>
      <c r="AF71" s="342">
        <v>-1539808.5563174449</v>
      </c>
      <c r="AG71" s="342">
        <v>2224212.882987476</v>
      </c>
      <c r="AH71" s="342">
        <v>77126.490326342828</v>
      </c>
      <c r="AI71" s="342">
        <v>-750609.32007320807</v>
      </c>
      <c r="AJ71" s="342">
        <v>-180569.76367108227</v>
      </c>
      <c r="AK71" s="342">
        <v>0</v>
      </c>
      <c r="AL71" s="342">
        <v>0</v>
      </c>
      <c r="AM71" s="342">
        <v>0</v>
      </c>
      <c r="AN71" s="342">
        <v>0</v>
      </c>
      <c r="AO71" s="342">
        <v>0</v>
      </c>
      <c r="AP71" s="342">
        <v>-1794022.8746031239</v>
      </c>
      <c r="AQ71" s="342">
        <v>-215462.03424304863</v>
      </c>
      <c r="AR71" s="342">
        <v>185294.51571806625</v>
      </c>
      <c r="AS71" s="342">
        <v>-175064.82743772495</v>
      </c>
      <c r="AT71" s="342">
        <v>-201916.75700110683</v>
      </c>
      <c r="AU71" s="342">
        <v>-20804862.919780977</v>
      </c>
      <c r="AV71" s="342">
        <v>-7301696.1530656479</v>
      </c>
      <c r="AW71" s="342">
        <v>-511017.89953936625</v>
      </c>
      <c r="AX71" s="342">
        <v>-1728770.4689326689</v>
      </c>
      <c r="AY71" s="342">
        <v>-2299335.1058183312</v>
      </c>
      <c r="AZ71" s="342">
        <v>-2474710.3371959487</v>
      </c>
      <c r="BA71" s="342">
        <v>-710267.05576124729</v>
      </c>
      <c r="BB71" s="342">
        <v>20224.086335360251</v>
      </c>
      <c r="BC71" s="342">
        <v>-172275.8583373228</v>
      </c>
      <c r="BD71" s="342">
        <v>2073.9144790464416</v>
      </c>
      <c r="BE71" s="342">
        <v>-5011738.0473338151</v>
      </c>
      <c r="BF71" s="342">
        <v>-1371508.945441196</v>
      </c>
      <c r="BG71" s="342">
        <v>-162797.31447660568</v>
      </c>
      <c r="BH71" s="342">
        <v>-918054.54591066414</v>
      </c>
      <c r="BI71" s="342">
        <v>-667717.7863529895</v>
      </c>
      <c r="BJ71" s="342">
        <v>-194484.87153653006</v>
      </c>
      <c r="BK71" s="342">
        <v>-157690.26651978283</v>
      </c>
      <c r="BL71" s="342">
        <v>0</v>
      </c>
      <c r="BM71" s="342">
        <v>-29770.794328966917</v>
      </c>
      <c r="BN71" s="342">
        <v>-20653.564064760951</v>
      </c>
      <c r="BO71" s="342">
        <v>16315773.748941498</v>
      </c>
      <c r="BP71" s="342">
        <v>569867.40765591606</v>
      </c>
      <c r="BQ71" s="342">
        <v>82088.226626782183</v>
      </c>
      <c r="BR71" s="342">
        <v>-7795.0606875968997</v>
      </c>
      <c r="BS71" s="342">
        <v>537393.54729422729</v>
      </c>
      <c r="BT71" s="342">
        <v>2341862.5425466462</v>
      </c>
      <c r="BU71" s="342">
        <v>1005673.8179068104</v>
      </c>
      <c r="BV71" s="342">
        <v>-35903.242303166073</v>
      </c>
      <c r="BW71" s="342">
        <v>-23632.424600667375</v>
      </c>
      <c r="BX71" s="342">
        <v>392576.63465784164</v>
      </c>
      <c r="BY71" s="342">
        <v>0</v>
      </c>
      <c r="BZ71" s="342">
        <v>0</v>
      </c>
      <c r="CA71" s="342">
        <v>0</v>
      </c>
      <c r="CB71" s="342">
        <v>0</v>
      </c>
      <c r="CC71" s="342">
        <v>0</v>
      </c>
      <c r="CD71" s="342">
        <v>-2941213.3152830191</v>
      </c>
      <c r="CE71" s="342">
        <v>-975515.08957125153</v>
      </c>
      <c r="CF71" s="342">
        <v>-11035.758346465298</v>
      </c>
      <c r="CG71" s="342">
        <v>-120391.84980384684</v>
      </c>
      <c r="CH71" s="342">
        <v>-340905.24153813947</v>
      </c>
      <c r="CI71" s="342">
        <v>-1184059.8623069439</v>
      </c>
      <c r="CJ71" s="342">
        <v>54277.610433828668</v>
      </c>
      <c r="CK71" s="342">
        <v>-111471.39540294028</v>
      </c>
      <c r="CL71" s="342">
        <v>-96562.740657861199</v>
      </c>
      <c r="CM71" s="342">
        <v>-333073.59962963057</v>
      </c>
      <c r="CN71" s="342">
        <v>201163.40553802749</v>
      </c>
      <c r="CO71" s="342">
        <v>-329465.09903454146</v>
      </c>
      <c r="CP71" s="342">
        <v>-34263.862484452125</v>
      </c>
      <c r="CQ71" s="342">
        <v>-103709.71905875199</v>
      </c>
      <c r="CR71" s="342">
        <v>-47894.832695016019</v>
      </c>
      <c r="CS71" s="342">
        <v>0</v>
      </c>
      <c r="CT71" s="342">
        <v>0</v>
      </c>
      <c r="CU71" s="342">
        <v>0</v>
      </c>
      <c r="CV71" s="342">
        <v>0</v>
      </c>
      <c r="CW71" s="342">
        <v>0</v>
      </c>
      <c r="CX71" s="342">
        <v>-3001126.4793212791</v>
      </c>
      <c r="CY71" s="342">
        <v>-605023.54649902647</v>
      </c>
      <c r="CZ71" s="342">
        <v>-27096.129295340186</v>
      </c>
      <c r="DA71" s="342">
        <v>-53293.127632436095</v>
      </c>
      <c r="DB71" s="342">
        <v>-83908.467623623612</v>
      </c>
      <c r="DC71" s="342">
        <v>-13166750.446942201</v>
      </c>
      <c r="DD71" s="342">
        <v>-5549165.2348617148</v>
      </c>
      <c r="DE71" s="342">
        <v>-387393.42914147931</v>
      </c>
      <c r="DF71" s="342">
        <v>-951820.86224877019</v>
      </c>
      <c r="DG71" s="342">
        <v>-1793766.7890766033</v>
      </c>
      <c r="DH71" s="342">
        <v>-2019578.1424054229</v>
      </c>
      <c r="DI71" s="342">
        <v>-646394.0045024202</v>
      </c>
      <c r="DJ71" s="342">
        <v>-67151.747363101924</v>
      </c>
      <c r="DK71" s="342">
        <v>-114469.62296288212</v>
      </c>
      <c r="DL71" s="342">
        <v>-184519.79147133764</v>
      </c>
      <c r="DM71" s="342">
        <v>-3370685.9527942715</v>
      </c>
      <c r="DN71" s="342">
        <v>-1074078.587716853</v>
      </c>
      <c r="DO71" s="342">
        <v>125210.29454088729</v>
      </c>
      <c r="DP71" s="342">
        <v>-254335.85961447691</v>
      </c>
      <c r="DQ71" s="342">
        <v>-489923.13548493845</v>
      </c>
      <c r="DR71" s="342">
        <v>10220.627407827747</v>
      </c>
      <c r="DS71" s="342">
        <v>-214389.82717898049</v>
      </c>
      <c r="DT71" s="342">
        <v>-10741.200117206638</v>
      </c>
      <c r="DU71" s="342">
        <v>-23636.452006758092</v>
      </c>
      <c r="DV71" s="342">
        <v>-46429.386656109258</v>
      </c>
      <c r="DW71" s="183"/>
    </row>
    <row r="72" spans="1:127" x14ac:dyDescent="0.3">
      <c r="B72" s="78"/>
      <c r="C72" s="45"/>
      <c r="D72" s="79"/>
      <c r="E72" s="80"/>
      <c r="F72" s="328"/>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c r="CA72" s="23"/>
      <c r="CB72" s="23"/>
      <c r="CC72" s="23"/>
      <c r="CD72" s="23"/>
      <c r="CE72" s="23"/>
      <c r="CF72" s="23"/>
      <c r="CG72" s="23"/>
      <c r="CH72" s="23"/>
      <c r="CI72" s="23"/>
      <c r="CJ72" s="23"/>
      <c r="CK72" s="23"/>
      <c r="CL72" s="23"/>
      <c r="CM72" s="23"/>
      <c r="CN72" s="23"/>
      <c r="CO72" s="23"/>
      <c r="CP72" s="23"/>
      <c r="CQ72" s="23"/>
      <c r="CR72" s="23"/>
      <c r="CS72" s="23"/>
      <c r="CT72" s="23"/>
      <c r="CU72" s="23"/>
      <c r="CV72" s="23"/>
      <c r="CW72" s="23"/>
      <c r="CX72" s="23"/>
      <c r="CY72" s="23"/>
      <c r="CZ72" s="23"/>
      <c r="DA72" s="23"/>
      <c r="DB72" s="23"/>
      <c r="DC72" s="23"/>
      <c r="DD72" s="23"/>
      <c r="DE72" s="23"/>
      <c r="DF72" s="23"/>
      <c r="DG72" s="23"/>
      <c r="DH72" s="23"/>
      <c r="DI72" s="23"/>
      <c r="DJ72" s="23"/>
      <c r="DK72" s="23"/>
      <c r="DL72" s="23"/>
      <c r="DM72" s="23"/>
      <c r="DN72" s="23"/>
      <c r="DO72" s="23"/>
      <c r="DP72" s="23"/>
      <c r="DQ72" s="23"/>
      <c r="DR72" s="23"/>
      <c r="DS72" s="23"/>
      <c r="DT72" s="23"/>
      <c r="DU72" s="23"/>
      <c r="DV72" s="23"/>
      <c r="DW72" s="183"/>
    </row>
    <row r="73" spans="1:127" x14ac:dyDescent="0.3">
      <c r="A73" s="258" t="str">
        <f>IF(ABS(B73/F73-1)&lt;0.1,"OK","WARNING")</f>
        <v>WARNING</v>
      </c>
      <c r="B73" s="81">
        <f>+'Wksh 1 - Market Experience'!G15</f>
        <v>279.16471179142911</v>
      </c>
      <c r="C73" s="45"/>
      <c r="D73" s="82"/>
      <c r="E73" s="64" t="s">
        <v>87</v>
      </c>
      <c r="F73" s="271">
        <f t="shared" ref="F73:AK73" si="33">+F68/F56</f>
        <v>326.39814642460306</v>
      </c>
      <c r="G73" s="271">
        <f t="shared" si="33"/>
        <v>379.90867577010528</v>
      </c>
      <c r="H73" s="271">
        <f t="shared" si="33"/>
        <v>373.68756519961499</v>
      </c>
      <c r="I73" s="271">
        <f t="shared" si="33"/>
        <v>162.09761190224913</v>
      </c>
      <c r="J73" s="271">
        <f t="shared" si="33"/>
        <v>984.85910088178423</v>
      </c>
      <c r="K73" s="271">
        <f t="shared" si="33"/>
        <v>432.80243096950642</v>
      </c>
      <c r="L73" s="271">
        <f t="shared" si="33"/>
        <v>425.20443533330467</v>
      </c>
      <c r="M73" s="271">
        <f t="shared" si="33"/>
        <v>832.55896013234485</v>
      </c>
      <c r="N73" s="271">
        <f t="shared" si="33"/>
        <v>1226.1998609917257</v>
      </c>
      <c r="O73" s="271">
        <f t="shared" si="33"/>
        <v>647.55347457423943</v>
      </c>
      <c r="P73" s="271">
        <f t="shared" si="33"/>
        <v>280.18675857735684</v>
      </c>
      <c r="Q73" s="271" t="e">
        <f t="shared" si="33"/>
        <v>#DIV/0!</v>
      </c>
      <c r="R73" s="271" t="e">
        <f t="shared" si="33"/>
        <v>#DIV/0!</v>
      </c>
      <c r="S73" s="271" t="e">
        <f t="shared" si="33"/>
        <v>#DIV/0!</v>
      </c>
      <c r="T73" s="271" t="e">
        <f t="shared" si="33"/>
        <v>#DIV/0!</v>
      </c>
      <c r="U73" s="271" t="e">
        <f t="shared" si="33"/>
        <v>#DIV/0!</v>
      </c>
      <c r="V73" s="271">
        <f t="shared" si="33"/>
        <v>332.27020281593815</v>
      </c>
      <c r="W73" s="271">
        <f t="shared" si="33"/>
        <v>376.15260926071483</v>
      </c>
      <c r="X73" s="271">
        <f t="shared" si="33"/>
        <v>286.00389596223766</v>
      </c>
      <c r="Y73" s="271">
        <f t="shared" si="33"/>
        <v>629.3758342812032</v>
      </c>
      <c r="Z73" s="271">
        <f t="shared" si="33"/>
        <v>577.99072853500741</v>
      </c>
      <c r="AA73" s="271">
        <f t="shared" si="33"/>
        <v>312.6660254262199</v>
      </c>
      <c r="AB73" s="271">
        <f t="shared" si="33"/>
        <v>422.1812000497838</v>
      </c>
      <c r="AC73" s="271">
        <f t="shared" si="33"/>
        <v>381.04046416299803</v>
      </c>
      <c r="AD73" s="271">
        <f t="shared" si="33"/>
        <v>636.08274341173728</v>
      </c>
      <c r="AE73" s="271">
        <f t="shared" si="33"/>
        <v>352.61047910079157</v>
      </c>
      <c r="AF73" s="271">
        <f t="shared" si="33"/>
        <v>322.28246364209713</v>
      </c>
      <c r="AG73" s="271">
        <f t="shared" si="33"/>
        <v>347.45314630279302</v>
      </c>
      <c r="AH73" s="271">
        <f t="shared" si="33"/>
        <v>462.65854539868366</v>
      </c>
      <c r="AI73" s="271">
        <f t="shared" si="33"/>
        <v>609.83514801169508</v>
      </c>
      <c r="AJ73" s="271">
        <f t="shared" si="33"/>
        <v>552.94629705929549</v>
      </c>
      <c r="AK73" s="271" t="e">
        <f t="shared" si="33"/>
        <v>#DIV/0!</v>
      </c>
      <c r="AL73" s="271" t="e">
        <f t="shared" ref="AL73:BQ73" si="34">+AL68/AL56</f>
        <v>#DIV/0!</v>
      </c>
      <c r="AM73" s="271" t="e">
        <f t="shared" si="34"/>
        <v>#DIV/0!</v>
      </c>
      <c r="AN73" s="271" t="e">
        <f t="shared" si="34"/>
        <v>#DIV/0!</v>
      </c>
      <c r="AO73" s="271" t="e">
        <f t="shared" si="34"/>
        <v>#DIV/0!</v>
      </c>
      <c r="AP73" s="271">
        <f t="shared" si="34"/>
        <v>261.31012731475386</v>
      </c>
      <c r="AQ73" s="271">
        <f t="shared" si="34"/>
        <v>306.80943116060035</v>
      </c>
      <c r="AR73" s="271">
        <f t="shared" si="34"/>
        <v>29.929998166304877</v>
      </c>
      <c r="AS73" s="271">
        <f t="shared" si="34"/>
        <v>664.95484018112677</v>
      </c>
      <c r="AT73" s="271">
        <f t="shared" si="34"/>
        <v>317.6497073968734</v>
      </c>
      <c r="AU73" s="271">
        <f t="shared" si="34"/>
        <v>306.45248100813882</v>
      </c>
      <c r="AV73" s="271">
        <f t="shared" si="34"/>
        <v>334.88189478481058</v>
      </c>
      <c r="AW73" s="271">
        <f t="shared" si="34"/>
        <v>355.77702816835654</v>
      </c>
      <c r="AX73" s="271">
        <f t="shared" si="34"/>
        <v>501.71935774597239</v>
      </c>
      <c r="AY73" s="271">
        <f t="shared" si="34"/>
        <v>302.34290789016848</v>
      </c>
      <c r="AZ73" s="271">
        <f t="shared" si="34"/>
        <v>296.51052957593191</v>
      </c>
      <c r="BA73" s="271">
        <f t="shared" si="34"/>
        <v>340.45825073507973</v>
      </c>
      <c r="BB73" s="271">
        <f t="shared" si="34"/>
        <v>287.97966621059589</v>
      </c>
      <c r="BC73" s="271">
        <f t="shared" si="34"/>
        <v>639.87519716793838</v>
      </c>
      <c r="BD73" s="271">
        <f t="shared" si="34"/>
        <v>288.96376218223969</v>
      </c>
      <c r="BE73" s="271">
        <f t="shared" si="34"/>
        <v>288.83458012886592</v>
      </c>
      <c r="BF73" s="271">
        <f t="shared" si="34"/>
        <v>317.94568086226269</v>
      </c>
      <c r="BG73" s="271">
        <f t="shared" si="34"/>
        <v>301.63995446992476</v>
      </c>
      <c r="BH73" s="271">
        <f t="shared" si="34"/>
        <v>432.74499274288695</v>
      </c>
      <c r="BI73" s="271">
        <f t="shared" si="34"/>
        <v>288.09120564134116</v>
      </c>
      <c r="BJ73" s="271">
        <f t="shared" si="34"/>
        <v>103.25621463487407</v>
      </c>
      <c r="BK73" s="271">
        <f t="shared" si="34"/>
        <v>170.68289061229473</v>
      </c>
      <c r="BL73" s="271" t="e">
        <f t="shared" si="34"/>
        <v>#DIV/0!</v>
      </c>
      <c r="BM73" s="271">
        <f t="shared" si="34"/>
        <v>218.73500084802001</v>
      </c>
      <c r="BN73" s="271">
        <f t="shared" si="34"/>
        <v>138.17785492969014</v>
      </c>
      <c r="BO73" s="271">
        <f t="shared" si="34"/>
        <v>351.34362722964232</v>
      </c>
      <c r="BP73" s="271">
        <f t="shared" si="34"/>
        <v>360.76132135102495</v>
      </c>
      <c r="BQ73" s="271">
        <f t="shared" si="34"/>
        <v>592.93700082111502</v>
      </c>
      <c r="BR73" s="271">
        <f t="shared" ref="BR73:CW73" si="35">+BR68/BR56</f>
        <v>807.04229047951628</v>
      </c>
      <c r="BS73" s="271">
        <f t="shared" si="35"/>
        <v>325.47269543080296</v>
      </c>
      <c r="BT73" s="271">
        <f t="shared" si="35"/>
        <v>360.26183600442215</v>
      </c>
      <c r="BU73" s="271">
        <f t="shared" si="35"/>
        <v>307.1257713441131</v>
      </c>
      <c r="BV73" s="271">
        <f t="shared" si="35"/>
        <v>505.27782112227942</v>
      </c>
      <c r="BW73" s="271">
        <f t="shared" si="35"/>
        <v>1172.4753141943479</v>
      </c>
      <c r="BX73" s="271">
        <f t="shared" si="35"/>
        <v>367.62021116992219</v>
      </c>
      <c r="BY73" s="271" t="e">
        <f t="shared" si="35"/>
        <v>#DIV/0!</v>
      </c>
      <c r="BZ73" s="271" t="e">
        <f t="shared" si="35"/>
        <v>#DIV/0!</v>
      </c>
      <c r="CA73" s="271" t="e">
        <f t="shared" si="35"/>
        <v>#DIV/0!</v>
      </c>
      <c r="CB73" s="271" t="e">
        <f t="shared" si="35"/>
        <v>#DIV/0!</v>
      </c>
      <c r="CC73" s="271" t="e">
        <f t="shared" si="35"/>
        <v>#DIV/0!</v>
      </c>
      <c r="CD73" s="271">
        <f t="shared" si="35"/>
        <v>323.71887020956888</v>
      </c>
      <c r="CE73" s="271">
        <f t="shared" si="35"/>
        <v>357.97712457211344</v>
      </c>
      <c r="CF73" s="271">
        <f t="shared" si="35"/>
        <v>311.91976162919104</v>
      </c>
      <c r="CG73" s="271">
        <f t="shared" si="35"/>
        <v>626.18778455272843</v>
      </c>
      <c r="CH73" s="271">
        <f t="shared" si="35"/>
        <v>281.98909663472466</v>
      </c>
      <c r="CI73" s="271">
        <f t="shared" si="35"/>
        <v>328.60907509601418</v>
      </c>
      <c r="CJ73" s="271">
        <f t="shared" si="35"/>
        <v>300.65839547238102</v>
      </c>
      <c r="CK73" s="271">
        <f t="shared" si="35"/>
        <v>350.71385989545729</v>
      </c>
      <c r="CL73" s="271">
        <f t="shared" si="35"/>
        <v>480.51501490111315</v>
      </c>
      <c r="CM73" s="271">
        <f t="shared" si="35"/>
        <v>303.92637486648175</v>
      </c>
      <c r="CN73" s="271">
        <f t="shared" si="35"/>
        <v>297.39139639594356</v>
      </c>
      <c r="CO73" s="271">
        <f t="shared" si="35"/>
        <v>365.51759638478399</v>
      </c>
      <c r="CP73" s="271">
        <f t="shared" si="35"/>
        <v>209.08358958411995</v>
      </c>
      <c r="CQ73" s="271">
        <f t="shared" si="35"/>
        <v>1061.0079606566421</v>
      </c>
      <c r="CR73" s="271">
        <f t="shared" si="35"/>
        <v>232.34970907379787</v>
      </c>
      <c r="CS73" s="271" t="e">
        <f t="shared" si="35"/>
        <v>#DIV/0!</v>
      </c>
      <c r="CT73" s="271" t="e">
        <f t="shared" si="35"/>
        <v>#DIV/0!</v>
      </c>
      <c r="CU73" s="271" t="e">
        <f t="shared" si="35"/>
        <v>#DIV/0!</v>
      </c>
      <c r="CV73" s="271" t="e">
        <f t="shared" si="35"/>
        <v>#DIV/0!</v>
      </c>
      <c r="CW73" s="271" t="e">
        <f t="shared" si="35"/>
        <v>#DIV/0!</v>
      </c>
      <c r="CX73" s="271">
        <f t="shared" ref="CX73:DV73" si="36">+CX68/CX56</f>
        <v>255.74476089308598</v>
      </c>
      <c r="CY73" s="271">
        <f t="shared" si="36"/>
        <v>268.02322666923544</v>
      </c>
      <c r="CZ73" s="271">
        <f t="shared" si="36"/>
        <v>401.55079802977531</v>
      </c>
      <c r="DA73" s="271">
        <f t="shared" si="36"/>
        <v>333.93938823095738</v>
      </c>
      <c r="DB73" s="271">
        <f t="shared" si="36"/>
        <v>241.75829872327287</v>
      </c>
      <c r="DC73" s="271">
        <f t="shared" si="36"/>
        <v>283.55838496764642</v>
      </c>
      <c r="DD73" s="271">
        <f t="shared" si="36"/>
        <v>322.65842577257291</v>
      </c>
      <c r="DE73" s="271">
        <f t="shared" si="36"/>
        <v>354.41249025550411</v>
      </c>
      <c r="DF73" s="271">
        <f t="shared" si="36"/>
        <v>577.46044455127515</v>
      </c>
      <c r="DG73" s="271">
        <f t="shared" si="36"/>
        <v>262.7379211594714</v>
      </c>
      <c r="DH73" s="271">
        <f t="shared" si="36"/>
        <v>279.43320358677079</v>
      </c>
      <c r="DI73" s="271">
        <f t="shared" si="36"/>
        <v>283.48156015113403</v>
      </c>
      <c r="DJ73" s="271">
        <f t="shared" si="36"/>
        <v>282.46518980999451</v>
      </c>
      <c r="DK73" s="271">
        <f t="shared" si="36"/>
        <v>709.67371256879221</v>
      </c>
      <c r="DL73" s="271">
        <f t="shared" si="36"/>
        <v>311.86433238418419</v>
      </c>
      <c r="DM73" s="271">
        <f t="shared" si="36"/>
        <v>284.01795620335741</v>
      </c>
      <c r="DN73" s="271">
        <f t="shared" si="36"/>
        <v>295.4584455625872</v>
      </c>
      <c r="DO73" s="271">
        <f t="shared" si="36"/>
        <v>1403.4777810233431</v>
      </c>
      <c r="DP73" s="271">
        <f t="shared" si="36"/>
        <v>529.19181364298709</v>
      </c>
      <c r="DQ73" s="271">
        <f t="shared" si="36"/>
        <v>236.30182640595132</v>
      </c>
      <c r="DR73" s="271">
        <f t="shared" si="36"/>
        <v>113.20915185861955</v>
      </c>
      <c r="DS73" s="271">
        <f t="shared" si="36"/>
        <v>171.57682742719791</v>
      </c>
      <c r="DT73" s="271">
        <f t="shared" si="36"/>
        <v>166.68212303150855</v>
      </c>
      <c r="DU73" s="271">
        <f t="shared" si="36"/>
        <v>281.33875645072806</v>
      </c>
      <c r="DV73" s="271">
        <f t="shared" si="36"/>
        <v>118.50868781511861</v>
      </c>
      <c r="DW73" s="183"/>
    </row>
    <row r="74" spans="1:127" x14ac:dyDescent="0.3">
      <c r="A74" s="258" t="str">
        <f>IF(ABS(B74/F74-1)&lt;0.1,"OK","WARNING")</f>
        <v>OK</v>
      </c>
      <c r="B74" s="81">
        <f>+'Wksh 1 - Market Experience'!G16</f>
        <v>358.73999958718645</v>
      </c>
      <c r="C74" s="45"/>
      <c r="D74" s="83"/>
      <c r="E74" s="64" t="s">
        <v>8</v>
      </c>
      <c r="F74" s="271">
        <f t="shared" ref="F74:AK74" si="37">+F61/F56</f>
        <v>358.9425638719411</v>
      </c>
      <c r="G74" s="271">
        <f t="shared" si="37"/>
        <v>639.04556816934416</v>
      </c>
      <c r="H74" s="271">
        <f t="shared" si="37"/>
        <v>573.72458354872549</v>
      </c>
      <c r="I74" s="271">
        <f t="shared" si="37"/>
        <v>910.03393189845804</v>
      </c>
      <c r="J74" s="271">
        <f t="shared" si="37"/>
        <v>1010.0794308183906</v>
      </c>
      <c r="K74" s="271">
        <f t="shared" si="37"/>
        <v>703.49281220334251</v>
      </c>
      <c r="L74" s="271">
        <f t="shared" si="37"/>
        <v>719.75701902829826</v>
      </c>
      <c r="M74" s="271">
        <f t="shared" si="37"/>
        <v>1018.6835353295638</v>
      </c>
      <c r="N74" s="271">
        <f t="shared" si="37"/>
        <v>1912.1185677534713</v>
      </c>
      <c r="O74" s="271">
        <f t="shared" si="37"/>
        <v>731.1399945875977</v>
      </c>
      <c r="P74" s="271">
        <f t="shared" si="37"/>
        <v>507.79956587095819</v>
      </c>
      <c r="Q74" s="271" t="e">
        <f t="shared" si="37"/>
        <v>#DIV/0!</v>
      </c>
      <c r="R74" s="271" t="e">
        <f t="shared" si="37"/>
        <v>#DIV/0!</v>
      </c>
      <c r="S74" s="271" t="e">
        <f t="shared" si="37"/>
        <v>#DIV/0!</v>
      </c>
      <c r="T74" s="271" t="e">
        <f t="shared" si="37"/>
        <v>#DIV/0!</v>
      </c>
      <c r="U74" s="271" t="e">
        <f t="shared" si="37"/>
        <v>#DIV/0!</v>
      </c>
      <c r="V74" s="271">
        <f t="shared" si="37"/>
        <v>400.25541953936994</v>
      </c>
      <c r="W74" s="271">
        <f t="shared" si="37"/>
        <v>347.48478827244287</v>
      </c>
      <c r="X74" s="271">
        <f t="shared" si="37"/>
        <v>509.12716547830962</v>
      </c>
      <c r="Y74" s="271">
        <f t="shared" si="37"/>
        <v>679.86628453922299</v>
      </c>
      <c r="Z74" s="271">
        <f t="shared" si="37"/>
        <v>718.2956712966228</v>
      </c>
      <c r="AA74" s="271">
        <f t="shared" si="37"/>
        <v>418.05843950111915</v>
      </c>
      <c r="AB74" s="271">
        <f t="shared" si="37"/>
        <v>458.50349161213603</v>
      </c>
      <c r="AC74" s="271">
        <f t="shared" si="37"/>
        <v>656.37818435565089</v>
      </c>
      <c r="AD74" s="271">
        <f t="shared" si="37"/>
        <v>456.31255177521484</v>
      </c>
      <c r="AE74" s="271">
        <f t="shared" si="37"/>
        <v>427.54630520899894</v>
      </c>
      <c r="AF74" s="271">
        <f t="shared" si="37"/>
        <v>393.42107160295893</v>
      </c>
      <c r="AG74" s="271">
        <f t="shared" si="37"/>
        <v>627.80610134573055</v>
      </c>
      <c r="AH74" s="271">
        <f t="shared" si="37"/>
        <v>621.76160754581633</v>
      </c>
      <c r="AI74" s="271">
        <f t="shared" si="37"/>
        <v>392.40639744137434</v>
      </c>
      <c r="AJ74" s="271">
        <f t="shared" si="37"/>
        <v>669.140159148213</v>
      </c>
      <c r="AK74" s="271" t="e">
        <f t="shared" si="37"/>
        <v>#DIV/0!</v>
      </c>
      <c r="AL74" s="271" t="e">
        <f t="shared" ref="AL74:BQ74" si="38">+AL61/AL56</f>
        <v>#DIV/0!</v>
      </c>
      <c r="AM74" s="271" t="e">
        <f t="shared" si="38"/>
        <v>#DIV/0!</v>
      </c>
      <c r="AN74" s="271" t="e">
        <f t="shared" si="38"/>
        <v>#DIV/0!</v>
      </c>
      <c r="AO74" s="271" t="e">
        <f t="shared" si="38"/>
        <v>#DIV/0!</v>
      </c>
      <c r="AP74" s="271">
        <f t="shared" si="38"/>
        <v>246.01995877365169</v>
      </c>
      <c r="AQ74" s="271">
        <f t="shared" si="38"/>
        <v>356.15571152981477</v>
      </c>
      <c r="AR74" s="271">
        <f t="shared" si="38"/>
        <v>374.01326384204134</v>
      </c>
      <c r="AS74" s="271">
        <f t="shared" si="38"/>
        <v>426.40270769527183</v>
      </c>
      <c r="AT74" s="271">
        <f t="shared" si="38"/>
        <v>204.48594415057298</v>
      </c>
      <c r="AU74" s="271">
        <f t="shared" si="38"/>
        <v>230.11411719906377</v>
      </c>
      <c r="AV74" s="271">
        <f t="shared" si="38"/>
        <v>210.99972447981801</v>
      </c>
      <c r="AW74" s="271">
        <f t="shared" si="38"/>
        <v>365.47057789815079</v>
      </c>
      <c r="AX74" s="271">
        <f t="shared" si="38"/>
        <v>331.48486263938457</v>
      </c>
      <c r="AY74" s="271">
        <f t="shared" si="38"/>
        <v>276.00984317091456</v>
      </c>
      <c r="AZ74" s="271">
        <f t="shared" si="38"/>
        <v>220.54294409778771</v>
      </c>
      <c r="BA74" s="271">
        <f t="shared" si="38"/>
        <v>237.13804822483746</v>
      </c>
      <c r="BB74" s="271">
        <f t="shared" si="38"/>
        <v>472.52043677571646</v>
      </c>
      <c r="BC74" s="271">
        <f t="shared" si="38"/>
        <v>556.5811128734556</v>
      </c>
      <c r="BD74" s="271">
        <f t="shared" si="38"/>
        <v>403.8031842937051</v>
      </c>
      <c r="BE74" s="271">
        <f t="shared" si="38"/>
        <v>187.56096697429157</v>
      </c>
      <c r="BF74" s="271">
        <f t="shared" si="38"/>
        <v>181.61101479675122</v>
      </c>
      <c r="BG74" s="271">
        <f t="shared" si="38"/>
        <v>212.35696495945945</v>
      </c>
      <c r="BH74" s="271">
        <f t="shared" si="38"/>
        <v>200.27478102520971</v>
      </c>
      <c r="BI74" s="271">
        <f t="shared" si="38"/>
        <v>184.91770907037292</v>
      </c>
      <c r="BJ74" s="271">
        <f t="shared" si="38"/>
        <v>97.778171147018739</v>
      </c>
      <c r="BK74" s="271">
        <f t="shared" si="38"/>
        <v>103.59781947827685</v>
      </c>
      <c r="BL74" s="271" t="e">
        <f t="shared" si="38"/>
        <v>#DIV/0!</v>
      </c>
      <c r="BM74" s="271">
        <f t="shared" si="38"/>
        <v>71.043190535650709</v>
      </c>
      <c r="BN74" s="271">
        <f t="shared" si="38"/>
        <v>97.188562838935354</v>
      </c>
      <c r="BO74" s="271">
        <f t="shared" si="38"/>
        <v>643.48285051785865</v>
      </c>
      <c r="BP74" s="271">
        <f t="shared" si="38"/>
        <v>504.51580844915355</v>
      </c>
      <c r="BQ74" s="271">
        <f t="shared" si="38"/>
        <v>879.75690652984872</v>
      </c>
      <c r="BR74" s="271">
        <f t="shared" ref="BR74:CW74" si="39">+BR61/BR56</f>
        <v>829.25247613903684</v>
      </c>
      <c r="BS74" s="271">
        <f t="shared" si="39"/>
        <v>520.07257157146103</v>
      </c>
      <c r="BT74" s="271">
        <f t="shared" si="39"/>
        <v>571.02872009906798</v>
      </c>
      <c r="BU74" s="271">
        <f t="shared" si="39"/>
        <v>724.16142218916036</v>
      </c>
      <c r="BV74" s="271">
        <f t="shared" si="39"/>
        <v>508.03466648621804</v>
      </c>
      <c r="BW74" s="271">
        <f t="shared" si="39"/>
        <v>941.31097852184166</v>
      </c>
      <c r="BX74" s="271">
        <f t="shared" si="39"/>
        <v>629.32644408665931</v>
      </c>
      <c r="BY74" s="271" t="e">
        <f t="shared" si="39"/>
        <v>#DIV/0!</v>
      </c>
      <c r="BZ74" s="271" t="e">
        <f t="shared" si="39"/>
        <v>#DIV/0!</v>
      </c>
      <c r="CA74" s="271" t="e">
        <f t="shared" si="39"/>
        <v>#DIV/0!</v>
      </c>
      <c r="CB74" s="271" t="e">
        <f t="shared" si="39"/>
        <v>#DIV/0!</v>
      </c>
      <c r="CC74" s="271" t="e">
        <f t="shared" si="39"/>
        <v>#DIV/0!</v>
      </c>
      <c r="CD74" s="271">
        <f t="shared" si="39"/>
        <v>352.91192472785201</v>
      </c>
      <c r="CE74" s="271">
        <f t="shared" si="39"/>
        <v>303.86773296119344</v>
      </c>
      <c r="CF74" s="271">
        <f t="shared" si="39"/>
        <v>402.04974251061969</v>
      </c>
      <c r="CG74" s="271">
        <f t="shared" si="39"/>
        <v>462.83896019946638</v>
      </c>
      <c r="CH74" s="271">
        <f t="shared" si="39"/>
        <v>281.31775357228372</v>
      </c>
      <c r="CI74" s="271">
        <f t="shared" si="39"/>
        <v>391.77416573632769</v>
      </c>
      <c r="CJ74" s="271">
        <f t="shared" si="39"/>
        <v>400.56538735313507</v>
      </c>
      <c r="CK74" s="271">
        <f t="shared" si="39"/>
        <v>274.6377788567118</v>
      </c>
      <c r="CL74" s="271">
        <f t="shared" si="39"/>
        <v>346.54550995399069</v>
      </c>
      <c r="CM74" s="271">
        <f t="shared" si="39"/>
        <v>286.73205871818578</v>
      </c>
      <c r="CN74" s="271">
        <f t="shared" si="39"/>
        <v>418.55954561989529</v>
      </c>
      <c r="CO74" s="271">
        <f t="shared" si="39"/>
        <v>409.03481596003485</v>
      </c>
      <c r="CP74" s="271">
        <f t="shared" si="39"/>
        <v>159.12733294749472</v>
      </c>
      <c r="CQ74" s="271">
        <f t="shared" si="39"/>
        <v>870.75776569842776</v>
      </c>
      <c r="CR74" s="271">
        <f t="shared" si="39"/>
        <v>278.45588354406704</v>
      </c>
      <c r="CS74" s="271" t="e">
        <f t="shared" si="39"/>
        <v>#DIV/0!</v>
      </c>
      <c r="CT74" s="271" t="e">
        <f t="shared" si="39"/>
        <v>#DIV/0!</v>
      </c>
      <c r="CU74" s="271" t="e">
        <f t="shared" si="39"/>
        <v>#DIV/0!</v>
      </c>
      <c r="CV74" s="271" t="e">
        <f t="shared" si="39"/>
        <v>#DIV/0!</v>
      </c>
      <c r="CW74" s="271" t="e">
        <f t="shared" si="39"/>
        <v>#DIV/0!</v>
      </c>
      <c r="CX74" s="271">
        <f t="shared" ref="CX74:DV74" si="40">+CX61/CX56</f>
        <v>215.15781224512367</v>
      </c>
      <c r="CY74" s="271">
        <f t="shared" si="40"/>
        <v>170.21959404481001</v>
      </c>
      <c r="CZ74" s="271">
        <f t="shared" si="40"/>
        <v>317.5588449214988</v>
      </c>
      <c r="DA74" s="271">
        <f t="shared" si="40"/>
        <v>133.50588647016198</v>
      </c>
      <c r="DB74" s="271">
        <f t="shared" si="40"/>
        <v>270.45026071277675</v>
      </c>
      <c r="DC74" s="271">
        <f t="shared" si="40"/>
        <v>203.02870212434374</v>
      </c>
      <c r="DD74" s="271">
        <f t="shared" si="40"/>
        <v>219.8022585025175</v>
      </c>
      <c r="DE74" s="271">
        <f t="shared" si="40"/>
        <v>209.86514599884518</v>
      </c>
      <c r="DF74" s="271">
        <f t="shared" si="40"/>
        <v>372.63512640101004</v>
      </c>
      <c r="DG74" s="271">
        <f t="shared" si="40"/>
        <v>221.1208955385722</v>
      </c>
      <c r="DH74" s="271">
        <f t="shared" si="40"/>
        <v>216.1603199281117</v>
      </c>
      <c r="DI74" s="271">
        <f t="shared" si="40"/>
        <v>223.10861345102529</v>
      </c>
      <c r="DJ74" s="271">
        <f t="shared" si="40"/>
        <v>152.83773789930214</v>
      </c>
      <c r="DK74" s="271">
        <f t="shared" si="40"/>
        <v>636.318448376942</v>
      </c>
      <c r="DL74" s="271">
        <f t="shared" si="40"/>
        <v>281.74359480683569</v>
      </c>
      <c r="DM74" s="271">
        <f t="shared" si="40"/>
        <v>183.05228959283986</v>
      </c>
      <c r="DN74" s="271">
        <f t="shared" si="40"/>
        <v>170.77341020591777</v>
      </c>
      <c r="DO74" s="271">
        <f t="shared" si="40"/>
        <v>2294.4074187124456</v>
      </c>
      <c r="DP74" s="271">
        <f t="shared" si="40"/>
        <v>360.7122489126985</v>
      </c>
      <c r="DQ74" s="271">
        <f t="shared" si="40"/>
        <v>142.98061834998913</v>
      </c>
      <c r="DR74" s="271">
        <f t="shared" si="40"/>
        <v>156.0779760551747</v>
      </c>
      <c r="DS74" s="271">
        <f t="shared" si="40"/>
        <v>121.30897858223078</v>
      </c>
      <c r="DT74" s="271">
        <f t="shared" si="40"/>
        <v>165.05105599483676</v>
      </c>
      <c r="DU74" s="271">
        <f t="shared" si="40"/>
        <v>113.51785130742326</v>
      </c>
      <c r="DV74" s="271">
        <f t="shared" si="40"/>
        <v>60.255095024930974</v>
      </c>
      <c r="DW74" s="183"/>
    </row>
    <row r="75" spans="1:127" x14ac:dyDescent="0.3">
      <c r="B75" s="71"/>
      <c r="C75" s="45"/>
      <c r="D75" s="84"/>
      <c r="E75" s="38" t="s">
        <v>88</v>
      </c>
      <c r="F75" s="271">
        <f t="shared" ref="F75:AK75" si="41">+F74*F62</f>
        <v>356.93960628975174</v>
      </c>
      <c r="G75" s="271">
        <f t="shared" si="41"/>
        <v>635.08348564669427</v>
      </c>
      <c r="H75" s="271">
        <f t="shared" si="41"/>
        <v>570.16749113072342</v>
      </c>
      <c r="I75" s="271">
        <f t="shared" si="41"/>
        <v>904.39172152068761</v>
      </c>
      <c r="J75" s="271">
        <f t="shared" si="41"/>
        <v>1003.8169383473166</v>
      </c>
      <c r="K75" s="271">
        <f t="shared" si="41"/>
        <v>698.99045820524111</v>
      </c>
      <c r="L75" s="271">
        <f t="shared" si="41"/>
        <v>715.22254980842001</v>
      </c>
      <c r="M75" s="271">
        <f t="shared" si="41"/>
        <v>1012.2658290569876</v>
      </c>
      <c r="N75" s="271">
        <f t="shared" si="41"/>
        <v>1900.0722207766246</v>
      </c>
      <c r="O75" s="271">
        <f t="shared" si="41"/>
        <v>726.5338126216958</v>
      </c>
      <c r="P75" s="271">
        <f t="shared" si="41"/>
        <v>504.44808873620985</v>
      </c>
      <c r="Q75" s="271" t="e">
        <f t="shared" si="41"/>
        <v>#DIV/0!</v>
      </c>
      <c r="R75" s="271" t="e">
        <f t="shared" si="41"/>
        <v>#DIV/0!</v>
      </c>
      <c r="S75" s="271" t="e">
        <f t="shared" si="41"/>
        <v>#DIV/0!</v>
      </c>
      <c r="T75" s="271" t="e">
        <f t="shared" si="41"/>
        <v>#DIV/0!</v>
      </c>
      <c r="U75" s="271" t="e">
        <f t="shared" si="41"/>
        <v>#DIV/0!</v>
      </c>
      <c r="V75" s="271">
        <f t="shared" si="41"/>
        <v>397.61373377041008</v>
      </c>
      <c r="W75" s="271">
        <f t="shared" si="41"/>
        <v>345.19138866984474</v>
      </c>
      <c r="X75" s="271">
        <f t="shared" si="41"/>
        <v>505.76692618615277</v>
      </c>
      <c r="Y75" s="271">
        <f t="shared" si="41"/>
        <v>675.37916706126407</v>
      </c>
      <c r="Z75" s="271">
        <f t="shared" si="41"/>
        <v>713.33943116467606</v>
      </c>
      <c r="AA75" s="271">
        <f t="shared" si="41"/>
        <v>415.25744795646165</v>
      </c>
      <c r="AB75" s="271">
        <f t="shared" si="41"/>
        <v>455.4315182183347</v>
      </c>
      <c r="AC75" s="271">
        <f t="shared" si="41"/>
        <v>651.98045052046803</v>
      </c>
      <c r="AD75" s="271">
        <f t="shared" si="41"/>
        <v>453.2552576783209</v>
      </c>
      <c r="AE75" s="271">
        <f t="shared" si="41"/>
        <v>424.55348107253593</v>
      </c>
      <c r="AF75" s="271">
        <f t="shared" si="41"/>
        <v>390.7458083160588</v>
      </c>
      <c r="AG75" s="271">
        <f t="shared" si="41"/>
        <v>623.5370198565796</v>
      </c>
      <c r="AH75" s="271">
        <f t="shared" si="41"/>
        <v>617.53362861450478</v>
      </c>
      <c r="AI75" s="271">
        <f t="shared" si="41"/>
        <v>389.73803393877296</v>
      </c>
      <c r="AJ75" s="271">
        <f t="shared" si="41"/>
        <v>664.38926401826075</v>
      </c>
      <c r="AK75" s="271" t="e">
        <f t="shared" si="41"/>
        <v>#DIV/0!</v>
      </c>
      <c r="AL75" s="271" t="e">
        <f t="shared" ref="AL75:BQ75" si="42">+AL74*AL62</f>
        <v>#DIV/0!</v>
      </c>
      <c r="AM75" s="271" t="e">
        <f t="shared" si="42"/>
        <v>#DIV/0!</v>
      </c>
      <c r="AN75" s="271" t="e">
        <f t="shared" si="42"/>
        <v>#DIV/0!</v>
      </c>
      <c r="AO75" s="271" t="e">
        <f t="shared" si="42"/>
        <v>#DIV/0!</v>
      </c>
      <c r="AP75" s="271">
        <f t="shared" si="42"/>
        <v>244.24861507048141</v>
      </c>
      <c r="AQ75" s="271">
        <f t="shared" si="42"/>
        <v>353.59139040680009</v>
      </c>
      <c r="AR75" s="271">
        <f t="shared" si="42"/>
        <v>371.32036834237863</v>
      </c>
      <c r="AS75" s="271">
        <f t="shared" si="42"/>
        <v>423.33260819986589</v>
      </c>
      <c r="AT75" s="271">
        <f t="shared" si="42"/>
        <v>202.95229956944368</v>
      </c>
      <c r="AU75" s="271">
        <f t="shared" si="42"/>
        <v>228.3882613200708</v>
      </c>
      <c r="AV75" s="271">
        <f t="shared" si="42"/>
        <v>209.41722654621938</v>
      </c>
      <c r="AW75" s="271">
        <f t="shared" si="42"/>
        <v>362.7295485639147</v>
      </c>
      <c r="AX75" s="271">
        <f t="shared" si="42"/>
        <v>328.99872616958919</v>
      </c>
      <c r="AY75" s="271">
        <f t="shared" si="42"/>
        <v>273.85696639418143</v>
      </c>
      <c r="AZ75" s="271">
        <f t="shared" si="42"/>
        <v>218.93298060587387</v>
      </c>
      <c r="BA75" s="271">
        <f t="shared" si="42"/>
        <v>235.40694047279615</v>
      </c>
      <c r="BB75" s="271">
        <f t="shared" si="42"/>
        <v>469.07103758725373</v>
      </c>
      <c r="BC75" s="271">
        <f t="shared" si="42"/>
        <v>552.51807074947942</v>
      </c>
      <c r="BD75" s="271">
        <f t="shared" si="42"/>
        <v>400.73428009307293</v>
      </c>
      <c r="BE75" s="271">
        <f t="shared" si="42"/>
        <v>186.17301581868182</v>
      </c>
      <c r="BF75" s="271">
        <f t="shared" si="42"/>
        <v>180.26709328725528</v>
      </c>
      <c r="BG75" s="271">
        <f t="shared" si="42"/>
        <v>210.78552341875945</v>
      </c>
      <c r="BH75" s="271">
        <f t="shared" si="42"/>
        <v>198.79274764562317</v>
      </c>
      <c r="BI75" s="271">
        <f t="shared" si="42"/>
        <v>183.47535093962401</v>
      </c>
      <c r="BJ75" s="271">
        <f t="shared" si="42"/>
        <v>97.025279229186694</v>
      </c>
      <c r="BK75" s="271">
        <f t="shared" si="42"/>
        <v>102.8001162682941</v>
      </c>
      <c r="BL75" s="271" t="e">
        <f t="shared" si="42"/>
        <v>#DIV/0!</v>
      </c>
      <c r="BM75" s="271">
        <f t="shared" si="42"/>
        <v>70.496157968526191</v>
      </c>
      <c r="BN75" s="271">
        <f t="shared" si="42"/>
        <v>96.41105433622387</v>
      </c>
      <c r="BO75" s="271">
        <f t="shared" si="42"/>
        <v>641.03761568589073</v>
      </c>
      <c r="BP75" s="271">
        <f t="shared" si="42"/>
        <v>502.59864837704674</v>
      </c>
      <c r="BQ75" s="271">
        <f t="shared" si="42"/>
        <v>876.41383028503526</v>
      </c>
      <c r="BR75" s="271">
        <f t="shared" ref="BR75:CW75" si="43">+BR74*BR62</f>
        <v>826.10131672970851</v>
      </c>
      <c r="BS75" s="271">
        <f t="shared" si="43"/>
        <v>518.09629579948944</v>
      </c>
      <c r="BT75" s="271">
        <f t="shared" si="43"/>
        <v>568.85881096269156</v>
      </c>
      <c r="BU75" s="271">
        <f t="shared" si="43"/>
        <v>721.40960878484157</v>
      </c>
      <c r="BV75" s="271">
        <f t="shared" si="43"/>
        <v>506.10413475357041</v>
      </c>
      <c r="BW75" s="271">
        <f t="shared" si="43"/>
        <v>937.73399680345869</v>
      </c>
      <c r="BX75" s="271">
        <f t="shared" si="43"/>
        <v>626.93500359913003</v>
      </c>
      <c r="BY75" s="271" t="e">
        <f t="shared" si="43"/>
        <v>#DIV/0!</v>
      </c>
      <c r="BZ75" s="271" t="e">
        <f t="shared" si="43"/>
        <v>#DIV/0!</v>
      </c>
      <c r="CA75" s="271" t="e">
        <f t="shared" si="43"/>
        <v>#DIV/0!</v>
      </c>
      <c r="CB75" s="271" t="e">
        <f t="shared" si="43"/>
        <v>#DIV/0!</v>
      </c>
      <c r="CC75" s="271" t="e">
        <f t="shared" si="43"/>
        <v>#DIV/0!</v>
      </c>
      <c r="CD75" s="271">
        <f t="shared" si="43"/>
        <v>351.57085941388618</v>
      </c>
      <c r="CE75" s="271">
        <f t="shared" si="43"/>
        <v>302.71303557594092</v>
      </c>
      <c r="CF75" s="271">
        <f t="shared" si="43"/>
        <v>400.52195348907935</v>
      </c>
      <c r="CG75" s="271">
        <f t="shared" si="43"/>
        <v>461.08017215070839</v>
      </c>
      <c r="CH75" s="271">
        <f t="shared" si="43"/>
        <v>280.24874610870904</v>
      </c>
      <c r="CI75" s="271">
        <f t="shared" si="43"/>
        <v>390.28542390652962</v>
      </c>
      <c r="CJ75" s="271">
        <f t="shared" si="43"/>
        <v>399.04323888119313</v>
      </c>
      <c r="CK75" s="271">
        <f t="shared" si="43"/>
        <v>273.59415529705632</v>
      </c>
      <c r="CL75" s="271">
        <f t="shared" si="43"/>
        <v>345.22863701616552</v>
      </c>
      <c r="CM75" s="271">
        <f t="shared" si="43"/>
        <v>285.64247689505669</v>
      </c>
      <c r="CN75" s="271">
        <f t="shared" si="43"/>
        <v>416.96901934653965</v>
      </c>
      <c r="CO75" s="271">
        <f t="shared" si="43"/>
        <v>407.48048365938672</v>
      </c>
      <c r="CP75" s="271">
        <f t="shared" si="43"/>
        <v>158.52264908229424</v>
      </c>
      <c r="CQ75" s="271">
        <f t="shared" si="43"/>
        <v>867.44888618877371</v>
      </c>
      <c r="CR75" s="271">
        <f t="shared" si="43"/>
        <v>277.39775118659958</v>
      </c>
      <c r="CS75" s="271" t="e">
        <f t="shared" si="43"/>
        <v>#DIV/0!</v>
      </c>
      <c r="CT75" s="271" t="e">
        <f t="shared" si="43"/>
        <v>#DIV/0!</v>
      </c>
      <c r="CU75" s="271" t="e">
        <f t="shared" si="43"/>
        <v>#DIV/0!</v>
      </c>
      <c r="CV75" s="271" t="e">
        <f t="shared" si="43"/>
        <v>#DIV/0!</v>
      </c>
      <c r="CW75" s="271" t="e">
        <f t="shared" si="43"/>
        <v>#DIV/0!</v>
      </c>
      <c r="CX75" s="271">
        <f t="shared" ref="CX75:DV75" si="44">+CX74*CX62</f>
        <v>214.34021255859219</v>
      </c>
      <c r="CY75" s="271">
        <f t="shared" si="44"/>
        <v>169.57275958743972</v>
      </c>
      <c r="CZ75" s="271">
        <f t="shared" si="44"/>
        <v>316.35212131079709</v>
      </c>
      <c r="DA75" s="271">
        <f t="shared" si="44"/>
        <v>132.99856410157537</v>
      </c>
      <c r="DB75" s="271">
        <f t="shared" si="44"/>
        <v>269.4225497220682</v>
      </c>
      <c r="DC75" s="271">
        <f t="shared" si="44"/>
        <v>202.25719305627123</v>
      </c>
      <c r="DD75" s="271">
        <f t="shared" si="44"/>
        <v>218.96700992020794</v>
      </c>
      <c r="DE75" s="271">
        <f t="shared" si="44"/>
        <v>209.06765844404956</v>
      </c>
      <c r="DF75" s="271">
        <f t="shared" si="44"/>
        <v>371.2191129206862</v>
      </c>
      <c r="DG75" s="271">
        <f t="shared" si="44"/>
        <v>220.28063613552561</v>
      </c>
      <c r="DH75" s="271">
        <f t="shared" si="44"/>
        <v>215.33891071238489</v>
      </c>
      <c r="DI75" s="271">
        <f t="shared" si="44"/>
        <v>222.2608007199114</v>
      </c>
      <c r="DJ75" s="271">
        <f t="shared" si="44"/>
        <v>152.25695449528479</v>
      </c>
      <c r="DK75" s="271">
        <f t="shared" si="44"/>
        <v>633.90043827310956</v>
      </c>
      <c r="DL75" s="271">
        <f t="shared" si="44"/>
        <v>280.6729691465697</v>
      </c>
      <c r="DM75" s="271">
        <f t="shared" si="44"/>
        <v>182.35669089238706</v>
      </c>
      <c r="DN75" s="271">
        <f t="shared" si="44"/>
        <v>170.12447124713529</v>
      </c>
      <c r="DO75" s="271">
        <f t="shared" si="44"/>
        <v>2285.6886705213383</v>
      </c>
      <c r="DP75" s="271">
        <f t="shared" si="44"/>
        <v>359.34154236683025</v>
      </c>
      <c r="DQ75" s="271">
        <f t="shared" si="44"/>
        <v>142.43729200025916</v>
      </c>
      <c r="DR75" s="271">
        <f t="shared" si="44"/>
        <v>155.48487974616503</v>
      </c>
      <c r="DS75" s="271">
        <f t="shared" si="44"/>
        <v>120.8480044636183</v>
      </c>
      <c r="DT75" s="271">
        <f t="shared" si="44"/>
        <v>164.42386198205637</v>
      </c>
      <c r="DU75" s="271">
        <f t="shared" si="44"/>
        <v>113.08648347245504</v>
      </c>
      <c r="DV75" s="271">
        <f t="shared" si="44"/>
        <v>60.026125663836233</v>
      </c>
      <c r="DW75" s="183"/>
    </row>
    <row r="76" spans="1:127" x14ac:dyDescent="0.3">
      <c r="B76" s="45"/>
      <c r="C76" s="45"/>
      <c r="D76" s="45"/>
      <c r="E76" s="45"/>
      <c r="F76" s="265"/>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33"/>
      <c r="CA76" s="33"/>
      <c r="CB76" s="33"/>
      <c r="CC76" s="33"/>
      <c r="CD76" s="33"/>
      <c r="CE76" s="33"/>
      <c r="CF76" s="33"/>
      <c r="CG76" s="33"/>
      <c r="CH76" s="33"/>
      <c r="CI76" s="33"/>
      <c r="CJ76" s="33"/>
      <c r="CK76" s="33"/>
      <c r="CL76" s="33"/>
      <c r="CM76" s="33"/>
      <c r="CN76" s="33"/>
      <c r="CO76" s="33"/>
      <c r="CP76" s="33"/>
      <c r="CQ76" s="33"/>
      <c r="CR76" s="33"/>
      <c r="CS76" s="33"/>
      <c r="CT76" s="33"/>
      <c r="CU76" s="33"/>
      <c r="CV76" s="33"/>
      <c r="CW76" s="33"/>
      <c r="CX76" s="33"/>
      <c r="CY76" s="33"/>
      <c r="CZ76" s="33"/>
      <c r="DA76" s="33"/>
      <c r="DB76" s="33"/>
      <c r="DC76" s="33"/>
      <c r="DD76" s="33"/>
      <c r="DE76" s="33"/>
      <c r="DF76" s="33"/>
      <c r="DG76" s="33"/>
      <c r="DH76" s="33"/>
      <c r="DI76" s="33"/>
      <c r="DJ76" s="33"/>
      <c r="DK76" s="33"/>
      <c r="DL76" s="33"/>
      <c r="DM76" s="33"/>
      <c r="DN76" s="33"/>
      <c r="DO76" s="33"/>
      <c r="DP76" s="33"/>
      <c r="DQ76" s="33"/>
      <c r="DR76" s="33"/>
      <c r="DS76" s="33"/>
      <c r="DT76" s="33"/>
      <c r="DU76" s="33"/>
      <c r="DV76" s="33"/>
      <c r="DW76" s="183"/>
    </row>
    <row r="77" spans="1:127" ht="14.4" customHeight="1" x14ac:dyDescent="0.3">
      <c r="B77" s="45"/>
      <c r="C77" s="45"/>
      <c r="D77" s="45"/>
      <c r="E77" s="45"/>
      <c r="F77" s="86"/>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c r="AH77" s="278"/>
      <c r="AI77" s="278"/>
      <c r="AJ77" s="278"/>
      <c r="AK77" s="278"/>
      <c r="AL77" s="278"/>
      <c r="AM77" s="278"/>
      <c r="AN77" s="278"/>
      <c r="AO77" s="278"/>
      <c r="AP77" s="278"/>
      <c r="AQ77" s="278"/>
      <c r="AR77" s="278"/>
      <c r="AS77" s="278"/>
      <c r="AT77" s="278"/>
      <c r="AU77" s="278"/>
      <c r="AV77" s="278"/>
      <c r="AW77" s="278"/>
      <c r="AX77" s="278"/>
      <c r="AY77" s="278"/>
      <c r="AZ77" s="278"/>
      <c r="BA77" s="278"/>
      <c r="BB77" s="278"/>
      <c r="BC77" s="278"/>
      <c r="BD77" s="278"/>
      <c r="BE77" s="278"/>
      <c r="BF77" s="278"/>
      <c r="BG77" s="278"/>
      <c r="BH77" s="278"/>
      <c r="BI77" s="278"/>
      <c r="BJ77" s="278"/>
      <c r="BK77" s="278"/>
      <c r="BL77" s="278"/>
      <c r="BM77" s="278"/>
      <c r="BN77" s="278"/>
      <c r="BO77" s="278"/>
      <c r="BP77" s="278"/>
      <c r="BQ77" s="278"/>
      <c r="BR77" s="278"/>
      <c r="BS77" s="278"/>
      <c r="BT77" s="278"/>
      <c r="BU77" s="278"/>
      <c r="BV77" s="278"/>
      <c r="BW77" s="278"/>
      <c r="BX77" s="278"/>
      <c r="BY77" s="278"/>
      <c r="BZ77" s="278"/>
      <c r="CA77" s="278"/>
      <c r="CB77" s="278"/>
      <c r="CC77" s="278"/>
      <c r="CD77" s="278"/>
      <c r="CE77" s="278"/>
      <c r="CF77" s="278"/>
      <c r="CG77" s="278"/>
      <c r="CH77" s="278"/>
      <c r="CI77" s="278"/>
      <c r="CJ77" s="278"/>
      <c r="CK77" s="278"/>
      <c r="CL77" s="278"/>
      <c r="CM77" s="278"/>
      <c r="CN77" s="278"/>
      <c r="CO77" s="278"/>
      <c r="CP77" s="278"/>
      <c r="CQ77" s="278"/>
      <c r="CR77" s="278"/>
      <c r="CS77" s="278"/>
      <c r="CT77" s="278"/>
      <c r="CU77" s="278"/>
      <c r="CV77" s="278"/>
      <c r="CW77" s="278"/>
      <c r="CX77" s="278"/>
      <c r="CY77" s="278"/>
      <c r="CZ77" s="278"/>
      <c r="DA77" s="278"/>
      <c r="DB77" s="278"/>
      <c r="DC77" s="278"/>
      <c r="DD77" s="278"/>
      <c r="DE77" s="278"/>
      <c r="DF77" s="278"/>
      <c r="DG77" s="278"/>
      <c r="DH77" s="278"/>
      <c r="DI77" s="278"/>
      <c r="DJ77" s="278"/>
      <c r="DK77" s="278"/>
      <c r="DL77" s="278"/>
      <c r="DM77" s="278"/>
      <c r="DN77" s="278"/>
      <c r="DO77" s="278"/>
      <c r="DP77" s="278"/>
      <c r="DQ77" s="278"/>
      <c r="DR77" s="278"/>
      <c r="DS77" s="278"/>
      <c r="DT77" s="278"/>
      <c r="DU77" s="278"/>
      <c r="DV77" s="278"/>
      <c r="DW77" s="183"/>
    </row>
    <row r="78" spans="1:127" x14ac:dyDescent="0.3">
      <c r="B78" s="45"/>
      <c r="C78" s="45"/>
      <c r="D78" s="85" t="s">
        <v>72</v>
      </c>
      <c r="E78" s="45"/>
      <c r="F78" s="86"/>
      <c r="G78" s="278"/>
      <c r="H78" s="278"/>
      <c r="I78" s="278"/>
      <c r="J78" s="278"/>
      <c r="K78" s="278"/>
      <c r="L78" s="278"/>
      <c r="M78" s="278"/>
      <c r="N78" s="278"/>
      <c r="O78" s="278"/>
      <c r="P78" s="278"/>
      <c r="Q78" s="278"/>
      <c r="R78" s="278"/>
      <c r="S78" s="278"/>
      <c r="T78" s="278"/>
      <c r="U78" s="278"/>
      <c r="V78" s="278"/>
      <c r="W78" s="278"/>
      <c r="X78" s="278"/>
      <c r="Y78" s="278"/>
      <c r="Z78" s="278"/>
      <c r="AA78" s="278"/>
      <c r="AB78" s="278"/>
      <c r="AC78" s="278"/>
      <c r="AD78" s="278"/>
      <c r="AE78" s="278"/>
      <c r="AF78" s="278"/>
      <c r="AG78" s="278"/>
      <c r="AH78" s="278"/>
      <c r="AI78" s="278"/>
      <c r="AJ78" s="278"/>
      <c r="AK78" s="278"/>
      <c r="AL78" s="278"/>
      <c r="AM78" s="278"/>
      <c r="AN78" s="278"/>
      <c r="AO78" s="278"/>
      <c r="AP78" s="278"/>
      <c r="AQ78" s="278"/>
      <c r="AR78" s="278"/>
      <c r="AS78" s="278"/>
      <c r="AT78" s="278"/>
      <c r="AU78" s="278"/>
      <c r="AV78" s="278"/>
      <c r="AW78" s="278"/>
      <c r="AX78" s="278"/>
      <c r="AY78" s="278"/>
      <c r="AZ78" s="278"/>
      <c r="BA78" s="278"/>
      <c r="BB78" s="278"/>
      <c r="BC78" s="278"/>
      <c r="BD78" s="278"/>
      <c r="BE78" s="278"/>
      <c r="BF78" s="278"/>
      <c r="BG78" s="278"/>
      <c r="BH78" s="278"/>
      <c r="BI78" s="278"/>
      <c r="BJ78" s="278"/>
      <c r="BK78" s="278"/>
      <c r="BL78" s="278"/>
      <c r="BM78" s="278"/>
      <c r="BN78" s="278"/>
      <c r="BO78" s="278"/>
      <c r="BP78" s="278"/>
      <c r="BQ78" s="278"/>
      <c r="BR78" s="278"/>
      <c r="BS78" s="278"/>
      <c r="BT78" s="278"/>
      <c r="BU78" s="278"/>
      <c r="BV78" s="278"/>
      <c r="BW78" s="278"/>
      <c r="BX78" s="278"/>
      <c r="BY78" s="278"/>
      <c r="BZ78" s="278"/>
      <c r="CA78" s="278"/>
      <c r="CB78" s="278"/>
      <c r="CC78" s="278"/>
      <c r="CD78" s="278"/>
      <c r="CE78" s="278"/>
      <c r="CF78" s="278"/>
      <c r="CG78" s="278"/>
      <c r="CH78" s="278"/>
      <c r="CI78" s="278"/>
      <c r="CJ78" s="278"/>
      <c r="CK78" s="278"/>
      <c r="CL78" s="278"/>
      <c r="CM78" s="278"/>
      <c r="CN78" s="278"/>
      <c r="CO78" s="278"/>
      <c r="CP78" s="278"/>
      <c r="CQ78" s="278"/>
      <c r="CR78" s="278"/>
      <c r="CS78" s="278"/>
      <c r="CT78" s="278"/>
      <c r="CU78" s="278"/>
      <c r="CV78" s="278"/>
      <c r="CW78" s="278"/>
      <c r="CX78" s="278"/>
      <c r="CY78" s="278"/>
      <c r="CZ78" s="278"/>
      <c r="DA78" s="278"/>
      <c r="DB78" s="278"/>
      <c r="DC78" s="278"/>
      <c r="DD78" s="278"/>
      <c r="DE78" s="278"/>
      <c r="DF78" s="278"/>
      <c r="DG78" s="278"/>
      <c r="DH78" s="278"/>
      <c r="DI78" s="278"/>
      <c r="DJ78" s="278"/>
      <c r="DK78" s="278"/>
      <c r="DL78" s="278"/>
      <c r="DM78" s="278"/>
      <c r="DN78" s="278"/>
      <c r="DO78" s="278"/>
      <c r="DP78" s="278"/>
      <c r="DQ78" s="278"/>
      <c r="DR78" s="278"/>
      <c r="DS78" s="278"/>
      <c r="DT78" s="278"/>
      <c r="DU78" s="278"/>
      <c r="DV78" s="278"/>
      <c r="DW78" s="183"/>
    </row>
    <row r="79" spans="1:127" x14ac:dyDescent="0.3">
      <c r="B79" s="45"/>
      <c r="C79" s="45"/>
      <c r="D79" s="45"/>
      <c r="E79" s="45"/>
      <c r="F79" s="266"/>
      <c r="G79" s="276"/>
      <c r="H79" s="276"/>
      <c r="I79" s="276"/>
      <c r="J79" s="276"/>
      <c r="K79" s="276"/>
      <c r="L79" s="276"/>
      <c r="M79" s="276"/>
      <c r="N79" s="276"/>
      <c r="O79" s="276"/>
      <c r="P79" s="276"/>
      <c r="Q79" s="276"/>
      <c r="R79" s="276"/>
      <c r="S79" s="276"/>
      <c r="T79" s="276"/>
      <c r="U79" s="276"/>
      <c r="V79" s="276"/>
      <c r="W79" s="276"/>
      <c r="X79" s="276"/>
      <c r="Y79" s="276"/>
      <c r="Z79" s="276"/>
      <c r="AA79" s="276"/>
      <c r="AB79" s="276"/>
      <c r="AC79" s="276"/>
      <c r="AD79" s="276"/>
      <c r="AE79" s="276"/>
      <c r="AF79" s="276"/>
      <c r="AG79" s="276"/>
      <c r="AH79" s="276"/>
      <c r="AI79" s="276"/>
      <c r="AJ79" s="276"/>
      <c r="AK79" s="276"/>
      <c r="AL79" s="276"/>
      <c r="AM79" s="276"/>
      <c r="AN79" s="276"/>
      <c r="AO79" s="276"/>
      <c r="AP79" s="276"/>
      <c r="AQ79" s="276"/>
      <c r="AR79" s="276"/>
      <c r="AS79" s="276"/>
      <c r="AT79" s="276"/>
      <c r="AU79" s="276"/>
      <c r="AV79" s="276"/>
      <c r="AW79" s="276"/>
      <c r="AX79" s="276"/>
      <c r="AY79" s="276"/>
      <c r="AZ79" s="276"/>
      <c r="BA79" s="276"/>
      <c r="BB79" s="276"/>
      <c r="BC79" s="276"/>
      <c r="BD79" s="276"/>
      <c r="BE79" s="276"/>
      <c r="BF79" s="276"/>
      <c r="BG79" s="276"/>
      <c r="BH79" s="276"/>
      <c r="BI79" s="276"/>
      <c r="BJ79" s="276"/>
      <c r="BK79" s="276"/>
      <c r="BL79" s="276"/>
      <c r="BM79" s="276"/>
      <c r="BN79" s="276"/>
      <c r="BO79" s="276"/>
      <c r="BP79" s="276"/>
      <c r="BQ79" s="276"/>
      <c r="BR79" s="276"/>
      <c r="BS79" s="276"/>
      <c r="BT79" s="276"/>
      <c r="BU79" s="276"/>
      <c r="BV79" s="276"/>
      <c r="BW79" s="276"/>
      <c r="BX79" s="276"/>
      <c r="BY79" s="276"/>
      <c r="BZ79" s="276"/>
      <c r="CA79" s="276"/>
      <c r="CB79" s="276"/>
      <c r="CC79" s="276"/>
      <c r="CD79" s="276"/>
      <c r="CE79" s="276"/>
      <c r="CF79" s="276"/>
      <c r="CG79" s="276"/>
      <c r="CH79" s="276"/>
      <c r="CI79" s="276"/>
      <c r="CJ79" s="276"/>
      <c r="CK79" s="276"/>
      <c r="CL79" s="276"/>
      <c r="CM79" s="276"/>
      <c r="CN79" s="276"/>
      <c r="CO79" s="276"/>
      <c r="CP79" s="276"/>
      <c r="CQ79" s="276"/>
      <c r="CR79" s="276"/>
      <c r="CS79" s="276"/>
      <c r="CT79" s="276"/>
      <c r="CU79" s="276"/>
      <c r="CV79" s="276"/>
      <c r="CW79" s="276"/>
      <c r="CX79" s="276"/>
      <c r="CY79" s="276"/>
      <c r="CZ79" s="276"/>
      <c r="DA79" s="276"/>
      <c r="DB79" s="276"/>
      <c r="DC79" s="276"/>
      <c r="DD79" s="276"/>
      <c r="DE79" s="276"/>
      <c r="DF79" s="276"/>
      <c r="DG79" s="276"/>
      <c r="DH79" s="276"/>
      <c r="DI79" s="276"/>
      <c r="DJ79" s="276"/>
      <c r="DK79" s="276"/>
      <c r="DL79" s="276"/>
      <c r="DM79" s="276"/>
      <c r="DN79" s="276"/>
      <c r="DO79" s="276"/>
      <c r="DP79" s="276"/>
      <c r="DQ79" s="276"/>
      <c r="DR79" s="276"/>
      <c r="DS79" s="276"/>
      <c r="DT79" s="276"/>
      <c r="DU79" s="276"/>
      <c r="DV79" s="276"/>
      <c r="DW79" s="183"/>
    </row>
    <row r="80" spans="1:127" ht="15" customHeight="1" x14ac:dyDescent="0.3">
      <c r="A80" s="259" t="s">
        <v>92</v>
      </c>
      <c r="B80" s="57" t="s">
        <v>89</v>
      </c>
      <c r="C80" s="45"/>
      <c r="D80" s="38"/>
      <c r="E80" s="38" t="s">
        <v>179</v>
      </c>
      <c r="F80" s="38" t="str">
        <f t="shared" ref="F80:AK80" si="45">F54</f>
        <v>Total</v>
      </c>
      <c r="G80" s="284" t="str">
        <f t="shared" si="45"/>
        <v>21032CO0410001</v>
      </c>
      <c r="H80" s="284" t="str">
        <f t="shared" si="45"/>
        <v>21032CO0410011</v>
      </c>
      <c r="I80" s="284" t="str">
        <f t="shared" si="45"/>
        <v>21032CO0410010</v>
      </c>
      <c r="J80" s="284" t="str">
        <f t="shared" si="45"/>
        <v>21032CO0410037</v>
      </c>
      <c r="K80" s="284" t="str">
        <f t="shared" si="45"/>
        <v>21032CO0410028</v>
      </c>
      <c r="L80" s="284" t="str">
        <f t="shared" si="45"/>
        <v>21032CO0410002</v>
      </c>
      <c r="M80" s="284" t="str">
        <f t="shared" si="45"/>
        <v>21032CO0410013</v>
      </c>
      <c r="N80" s="284" t="str">
        <f t="shared" si="45"/>
        <v>21032CO0410012</v>
      </c>
      <c r="O80" s="284" t="str">
        <f t="shared" si="45"/>
        <v>21032CO0410038</v>
      </c>
      <c r="P80" s="284" t="str">
        <f t="shared" si="45"/>
        <v>21032CO0410029</v>
      </c>
      <c r="Q80" s="284" t="str">
        <f t="shared" si="45"/>
        <v>21032CO0410060</v>
      </c>
      <c r="R80" s="284" t="str">
        <f t="shared" si="45"/>
        <v>21032CO0410061</v>
      </c>
      <c r="S80" s="284" t="str">
        <f t="shared" si="45"/>
        <v>21032CO0410062</v>
      </c>
      <c r="T80" s="284" t="str">
        <f t="shared" si="45"/>
        <v>21032CO0410064</v>
      </c>
      <c r="U80" s="284" t="str">
        <f t="shared" si="45"/>
        <v>21032CO0410063</v>
      </c>
      <c r="V80" s="284" t="str">
        <f t="shared" si="45"/>
        <v>21032CO0410003</v>
      </c>
      <c r="W80" s="284" t="str">
        <f t="shared" si="45"/>
        <v>21032CO0410015</v>
      </c>
      <c r="X80" s="284" t="str">
        <f t="shared" si="45"/>
        <v>21032CO0410014</v>
      </c>
      <c r="Y80" s="284" t="str">
        <f t="shared" si="45"/>
        <v>21032CO0410039</v>
      </c>
      <c r="Z80" s="284" t="str">
        <f t="shared" si="45"/>
        <v>21032CO0410030</v>
      </c>
      <c r="AA80" s="284" t="str">
        <f t="shared" si="45"/>
        <v>21032CO0410004</v>
      </c>
      <c r="AB80" s="284" t="str">
        <f t="shared" si="45"/>
        <v>21032CO0410017</v>
      </c>
      <c r="AC80" s="284" t="str">
        <f t="shared" si="45"/>
        <v>21032CO0410016</v>
      </c>
      <c r="AD80" s="284" t="str">
        <f t="shared" si="45"/>
        <v>21032CO0410040</v>
      </c>
      <c r="AE80" s="284" t="str">
        <f t="shared" si="45"/>
        <v>21032CO0410031</v>
      </c>
      <c r="AF80" s="284" t="str">
        <f t="shared" si="45"/>
        <v>21032CO0410005</v>
      </c>
      <c r="AG80" s="284" t="str">
        <f t="shared" si="45"/>
        <v>21032CO0410019</v>
      </c>
      <c r="AH80" s="284" t="str">
        <f t="shared" si="45"/>
        <v>21032CO0410018</v>
      </c>
      <c r="AI80" s="284" t="str">
        <f t="shared" si="45"/>
        <v>21032CO0410041</v>
      </c>
      <c r="AJ80" s="284" t="str">
        <f t="shared" si="45"/>
        <v>21032CO0410032</v>
      </c>
      <c r="AK80" s="284" t="str">
        <f t="shared" si="45"/>
        <v>21032CO0410055</v>
      </c>
      <c r="AL80" s="284" t="str">
        <f t="shared" ref="AL80:BQ80" si="46">AL54</f>
        <v>21032CO0410056</v>
      </c>
      <c r="AM80" s="284" t="str">
        <f t="shared" si="46"/>
        <v>21032CO0410057</v>
      </c>
      <c r="AN80" s="284" t="str">
        <f t="shared" si="46"/>
        <v>21032CO0410059</v>
      </c>
      <c r="AO80" s="284" t="str">
        <f t="shared" si="46"/>
        <v>21032CO0410058</v>
      </c>
      <c r="AP80" s="284" t="str">
        <f t="shared" si="46"/>
        <v>21032CO0410008</v>
      </c>
      <c r="AQ80" s="284" t="str">
        <f t="shared" si="46"/>
        <v>21032CO0410025</v>
      </c>
      <c r="AR80" s="284" t="str">
        <f t="shared" si="46"/>
        <v>21032CO0410024</v>
      </c>
      <c r="AS80" s="284" t="str">
        <f t="shared" si="46"/>
        <v>21032CO0410042</v>
      </c>
      <c r="AT80" s="284" t="str">
        <f t="shared" si="46"/>
        <v>21032CO0410033</v>
      </c>
      <c r="AU80" s="284" t="str">
        <f t="shared" si="46"/>
        <v>21032CO0410007</v>
      </c>
      <c r="AV80" s="284" t="str">
        <f t="shared" si="46"/>
        <v>21032CO0410021</v>
      </c>
      <c r="AW80" s="284" t="str">
        <f t="shared" si="46"/>
        <v>21032CO0410020</v>
      </c>
      <c r="AX80" s="284" t="str">
        <f t="shared" si="46"/>
        <v>21032CO0410043</v>
      </c>
      <c r="AY80" s="284" t="str">
        <f t="shared" si="46"/>
        <v>21032CO0410035</v>
      </c>
      <c r="AZ80" s="284" t="str">
        <f t="shared" si="46"/>
        <v>21032CO0410044</v>
      </c>
      <c r="BA80" s="284" t="str">
        <f t="shared" si="46"/>
        <v>21032CO0410045</v>
      </c>
      <c r="BB80" s="284" t="str">
        <f t="shared" si="46"/>
        <v>21032CO0410046</v>
      </c>
      <c r="BC80" s="284" t="str">
        <f t="shared" si="46"/>
        <v>21032CO0410048</v>
      </c>
      <c r="BD80" s="284" t="str">
        <f t="shared" si="46"/>
        <v>21032CO0410047</v>
      </c>
      <c r="BE80" s="284" t="str">
        <f t="shared" si="46"/>
        <v>21032CO0410049</v>
      </c>
      <c r="BF80" s="284" t="str">
        <f t="shared" si="46"/>
        <v>21032CO0410050</v>
      </c>
      <c r="BG80" s="284" t="str">
        <f t="shared" si="46"/>
        <v>21032CO0410051</v>
      </c>
      <c r="BH80" s="284" t="str">
        <f t="shared" si="46"/>
        <v>21032CO0410053</v>
      </c>
      <c r="BI80" s="284" t="str">
        <f t="shared" si="46"/>
        <v>21032CO0410052</v>
      </c>
      <c r="BJ80" s="284" t="str">
        <f t="shared" si="46"/>
        <v>21032CO0410009</v>
      </c>
      <c r="BK80" s="284" t="str">
        <f t="shared" si="46"/>
        <v>21032CO0410027</v>
      </c>
      <c r="BL80" s="284" t="str">
        <f t="shared" si="46"/>
        <v>21032CO0410026</v>
      </c>
      <c r="BM80" s="284" t="str">
        <f t="shared" si="46"/>
        <v>21032CO0410054</v>
      </c>
      <c r="BN80" s="284" t="str">
        <f t="shared" si="46"/>
        <v>21032CO0410036</v>
      </c>
      <c r="BO80" s="284" t="str">
        <f t="shared" si="46"/>
        <v>21032CO0610001</v>
      </c>
      <c r="BP80" s="284" t="str">
        <f t="shared" si="46"/>
        <v>21032CO0610011</v>
      </c>
      <c r="BQ80" s="284" t="str">
        <f t="shared" si="46"/>
        <v>21032CO0610010</v>
      </c>
      <c r="BR80" s="284" t="str">
        <f t="shared" ref="BR80:CW80" si="47">BR54</f>
        <v>21032CO0610037</v>
      </c>
      <c r="BS80" s="284" t="str">
        <f t="shared" si="47"/>
        <v>21032CO0610028</v>
      </c>
      <c r="BT80" s="284" t="str">
        <f t="shared" si="47"/>
        <v>21032CO0610002</v>
      </c>
      <c r="BU80" s="284" t="str">
        <f t="shared" si="47"/>
        <v>21032CO0610013</v>
      </c>
      <c r="BV80" s="284" t="str">
        <f t="shared" si="47"/>
        <v>21032CO0610012</v>
      </c>
      <c r="BW80" s="284" t="str">
        <f t="shared" si="47"/>
        <v>21032CO0610038</v>
      </c>
      <c r="BX80" s="284" t="str">
        <f t="shared" si="47"/>
        <v>21032CO0610029</v>
      </c>
      <c r="BY80" s="284" t="str">
        <f t="shared" si="47"/>
        <v>21032CO0610060</v>
      </c>
      <c r="BZ80" s="284" t="str">
        <f t="shared" si="47"/>
        <v>21032CO0610061</v>
      </c>
      <c r="CA80" s="284" t="str">
        <f t="shared" si="47"/>
        <v>21032CO0610062</v>
      </c>
      <c r="CB80" s="284" t="str">
        <f t="shared" si="47"/>
        <v>21032CO0610064</v>
      </c>
      <c r="CC80" s="284" t="str">
        <f t="shared" si="47"/>
        <v>21032CO0610063</v>
      </c>
      <c r="CD80" s="284" t="str">
        <f t="shared" si="47"/>
        <v>21032CO0610003</v>
      </c>
      <c r="CE80" s="284" t="str">
        <f t="shared" si="47"/>
        <v>21032CO0610015</v>
      </c>
      <c r="CF80" s="284" t="str">
        <f t="shared" si="47"/>
        <v>21032CO0610014</v>
      </c>
      <c r="CG80" s="284" t="str">
        <f t="shared" si="47"/>
        <v>21032CO0610039</v>
      </c>
      <c r="CH80" s="284" t="str">
        <f t="shared" si="47"/>
        <v>21032CO0610030</v>
      </c>
      <c r="CI80" s="284" t="str">
        <f t="shared" si="47"/>
        <v>21032CO0610004</v>
      </c>
      <c r="CJ80" s="284" t="str">
        <f t="shared" si="47"/>
        <v>21032CO0610017</v>
      </c>
      <c r="CK80" s="284" t="str">
        <f t="shared" si="47"/>
        <v>21032CO0610016</v>
      </c>
      <c r="CL80" s="284" t="str">
        <f t="shared" si="47"/>
        <v>21032CO0610040</v>
      </c>
      <c r="CM80" s="284" t="str">
        <f t="shared" si="47"/>
        <v>21032CO0610031</v>
      </c>
      <c r="CN80" s="284" t="str">
        <f t="shared" si="47"/>
        <v>21032CO0610005</v>
      </c>
      <c r="CO80" s="284" t="str">
        <f t="shared" si="47"/>
        <v>21032CO0610019</v>
      </c>
      <c r="CP80" s="284" t="str">
        <f t="shared" si="47"/>
        <v>21032CO0610018</v>
      </c>
      <c r="CQ80" s="284" t="str">
        <f t="shared" si="47"/>
        <v>21032CO0610041</v>
      </c>
      <c r="CR80" s="284" t="str">
        <f t="shared" si="47"/>
        <v>21032CO0610032</v>
      </c>
      <c r="CS80" s="284" t="str">
        <f t="shared" si="47"/>
        <v>21032CO0610055</v>
      </c>
      <c r="CT80" s="284" t="str">
        <f t="shared" si="47"/>
        <v>21032CO0610056</v>
      </c>
      <c r="CU80" s="284" t="str">
        <f t="shared" si="47"/>
        <v>21032CO0610057</v>
      </c>
      <c r="CV80" s="284" t="str">
        <f t="shared" si="47"/>
        <v>21032CO0610059</v>
      </c>
      <c r="CW80" s="284" t="str">
        <f t="shared" si="47"/>
        <v>21032CO0610058</v>
      </c>
      <c r="CX80" s="284" t="str">
        <f t="shared" ref="CX80:DV80" si="48">CX54</f>
        <v>21032CO0610008</v>
      </c>
      <c r="CY80" s="284" t="str">
        <f t="shared" si="48"/>
        <v>21032CO0610025</v>
      </c>
      <c r="CZ80" s="284" t="str">
        <f t="shared" si="48"/>
        <v>21032CO0610024</v>
      </c>
      <c r="DA80" s="284" t="str">
        <f t="shared" si="48"/>
        <v>21032CO0610042</v>
      </c>
      <c r="DB80" s="284" t="str">
        <f t="shared" si="48"/>
        <v>21032CO0610033</v>
      </c>
      <c r="DC80" s="284" t="str">
        <f t="shared" si="48"/>
        <v>21032CO0610006</v>
      </c>
      <c r="DD80" s="284" t="str">
        <f t="shared" si="48"/>
        <v>21032CO0610021</v>
      </c>
      <c r="DE80" s="284" t="str">
        <f t="shared" si="48"/>
        <v>21032CO0610020</v>
      </c>
      <c r="DF80" s="284" t="str">
        <f t="shared" si="48"/>
        <v>21032CO0610043</v>
      </c>
      <c r="DG80" s="284" t="str">
        <f t="shared" si="48"/>
        <v>21032CO0610035</v>
      </c>
      <c r="DH80" s="284" t="str">
        <f t="shared" si="48"/>
        <v>21032CO0610044</v>
      </c>
      <c r="DI80" s="284" t="str">
        <f t="shared" si="48"/>
        <v>21032CO0610045</v>
      </c>
      <c r="DJ80" s="284" t="str">
        <f t="shared" si="48"/>
        <v>21032CO0610046</v>
      </c>
      <c r="DK80" s="284" t="str">
        <f t="shared" si="48"/>
        <v>21032CO0610048</v>
      </c>
      <c r="DL80" s="284" t="str">
        <f t="shared" si="48"/>
        <v>21032CO0610047</v>
      </c>
      <c r="DM80" s="284" t="str">
        <f t="shared" si="48"/>
        <v>21032CO0610049</v>
      </c>
      <c r="DN80" s="284" t="str">
        <f t="shared" si="48"/>
        <v>21032CO0610050</v>
      </c>
      <c r="DO80" s="284" t="str">
        <f t="shared" si="48"/>
        <v>21032CO0610051</v>
      </c>
      <c r="DP80" s="284" t="str">
        <f t="shared" si="48"/>
        <v>21032CO0610053</v>
      </c>
      <c r="DQ80" s="284" t="str">
        <f t="shared" si="48"/>
        <v>21032CO0610052</v>
      </c>
      <c r="DR80" s="284" t="str">
        <f t="shared" si="48"/>
        <v>21032CO0610009</v>
      </c>
      <c r="DS80" s="284" t="str">
        <f t="shared" si="48"/>
        <v>21032CO0610027</v>
      </c>
      <c r="DT80" s="284" t="str">
        <f t="shared" si="48"/>
        <v>21032CO0610026</v>
      </c>
      <c r="DU80" s="284" t="str">
        <f t="shared" si="48"/>
        <v>21032CO0610054</v>
      </c>
      <c r="DV80" s="284" t="str">
        <f t="shared" si="48"/>
        <v>21032CO0610036</v>
      </c>
      <c r="DW80" s="183"/>
    </row>
    <row r="81" spans="1:127" x14ac:dyDescent="0.3">
      <c r="A81" s="258"/>
      <c r="B81" s="373"/>
      <c r="C81" s="45"/>
      <c r="D81" s="377" t="s">
        <v>44</v>
      </c>
      <c r="E81" s="64" t="s">
        <v>187</v>
      </c>
      <c r="F81" s="351">
        <f>SUMPRODUCT(G81:DV81,G82:DV82)/SUM(G82:DV82)</f>
        <v>468.98486805855009</v>
      </c>
      <c r="G81" s="355">
        <v>603.6974021408729</v>
      </c>
      <c r="H81" s="355">
        <v>603.6974021408729</v>
      </c>
      <c r="I81" s="355">
        <v>603.6974021408729</v>
      </c>
      <c r="J81" s="355">
        <v>603.6974021408729</v>
      </c>
      <c r="K81" s="355">
        <v>549.33905554979856</v>
      </c>
      <c r="L81" s="355">
        <v>588.98867306328816</v>
      </c>
      <c r="M81" s="355">
        <v>588.98867306328816</v>
      </c>
      <c r="N81" s="355">
        <v>588.98867306328816</v>
      </c>
      <c r="O81" s="355">
        <v>588.98867306328816</v>
      </c>
      <c r="P81" s="355">
        <v>535.90934639200373</v>
      </c>
      <c r="Q81" s="355">
        <v>551.89709538937859</v>
      </c>
      <c r="R81" s="355">
        <v>551.89709538937859</v>
      </c>
      <c r="S81" s="355">
        <v>551.89709538937859</v>
      </c>
      <c r="T81" s="355">
        <v>551.89709538937859</v>
      </c>
      <c r="U81" s="355">
        <v>502.65482847746415</v>
      </c>
      <c r="V81" s="355">
        <v>518.00306751494406</v>
      </c>
      <c r="W81" s="355">
        <v>518.00306751494406</v>
      </c>
      <c r="X81" s="355">
        <v>518.00306751494406</v>
      </c>
      <c r="Y81" s="355">
        <v>518.00306751494406</v>
      </c>
      <c r="Z81" s="355">
        <v>471.31884044260948</v>
      </c>
      <c r="AA81" s="355">
        <v>515.44502767536403</v>
      </c>
      <c r="AB81" s="355">
        <v>515.44502767536403</v>
      </c>
      <c r="AC81" s="355">
        <v>515.44502767536403</v>
      </c>
      <c r="AD81" s="355">
        <v>515.44502767536403</v>
      </c>
      <c r="AE81" s="355">
        <v>468.76080060302957</v>
      </c>
      <c r="AF81" s="355">
        <v>503.29433843735916</v>
      </c>
      <c r="AG81" s="355">
        <v>503.29433843735916</v>
      </c>
      <c r="AH81" s="355">
        <v>503.29433843735916</v>
      </c>
      <c r="AI81" s="355">
        <v>503.29433843735916</v>
      </c>
      <c r="AJ81" s="355">
        <v>457.88913128481465</v>
      </c>
      <c r="AK81" s="355">
        <v>477.71394004155945</v>
      </c>
      <c r="AL81" s="355">
        <v>477.71394004155945</v>
      </c>
      <c r="AM81" s="355">
        <v>477.71394004155945</v>
      </c>
      <c r="AN81" s="355">
        <v>477.71394004155945</v>
      </c>
      <c r="AO81" s="355">
        <v>434.86677272859498</v>
      </c>
      <c r="AP81" s="355">
        <v>415.04196397185018</v>
      </c>
      <c r="AQ81" s="355">
        <v>415.04196397185018</v>
      </c>
      <c r="AR81" s="355">
        <v>415.04196397185018</v>
      </c>
      <c r="AS81" s="355">
        <v>415.04196397185018</v>
      </c>
      <c r="AT81" s="355">
        <v>377.3108763380456</v>
      </c>
      <c r="AU81" s="355">
        <v>424.63461337027508</v>
      </c>
      <c r="AV81" s="355">
        <v>424.63461337027508</v>
      </c>
      <c r="AW81" s="355">
        <v>424.63461337027508</v>
      </c>
      <c r="AX81" s="355">
        <v>424.63461337027508</v>
      </c>
      <c r="AY81" s="355">
        <v>386.26401577657549</v>
      </c>
      <c r="AZ81" s="355">
        <v>449.57550180617977</v>
      </c>
      <c r="BA81" s="355">
        <v>449.57550180617977</v>
      </c>
      <c r="BB81" s="355">
        <v>449.57550180617977</v>
      </c>
      <c r="BC81" s="355">
        <v>449.57550180617977</v>
      </c>
      <c r="BD81" s="355">
        <v>409.28637433279528</v>
      </c>
      <c r="BE81" s="355">
        <v>406.08882453332029</v>
      </c>
      <c r="BF81" s="355">
        <v>406.08882453332029</v>
      </c>
      <c r="BG81" s="355">
        <v>406.08882453332029</v>
      </c>
      <c r="BH81" s="355">
        <v>406.08882453332029</v>
      </c>
      <c r="BI81" s="355">
        <v>368.99724685941067</v>
      </c>
      <c r="BJ81" s="355">
        <v>381.14793609741554</v>
      </c>
      <c r="BK81" s="355">
        <v>381.14793609741554</v>
      </c>
      <c r="BL81" s="355">
        <v>381.14793609741554</v>
      </c>
      <c r="BM81" s="355">
        <v>381.14793609741554</v>
      </c>
      <c r="BN81" s="355">
        <v>347.25390822298101</v>
      </c>
      <c r="BO81" s="355">
        <v>603.6974021408729</v>
      </c>
      <c r="BP81" s="355">
        <v>603.6974021408729</v>
      </c>
      <c r="BQ81" s="355">
        <v>603.6974021408729</v>
      </c>
      <c r="BR81" s="355">
        <v>603.6974021408729</v>
      </c>
      <c r="BS81" s="355">
        <v>549.33905554979856</v>
      </c>
      <c r="BT81" s="355">
        <v>588.98867306328816</v>
      </c>
      <c r="BU81" s="355">
        <v>588.98867306328816</v>
      </c>
      <c r="BV81" s="355">
        <v>588.98867306328816</v>
      </c>
      <c r="BW81" s="355">
        <v>588.98867306328816</v>
      </c>
      <c r="BX81" s="355">
        <v>535.90934639200373</v>
      </c>
      <c r="BY81" s="355">
        <v>551.89709538937859</v>
      </c>
      <c r="BZ81" s="355">
        <v>551.89709538937859</v>
      </c>
      <c r="CA81" s="355">
        <v>551.89709538937859</v>
      </c>
      <c r="CB81" s="355">
        <v>551.89709538937859</v>
      </c>
      <c r="CC81" s="355">
        <v>502.65482847746415</v>
      </c>
      <c r="CD81" s="355">
        <v>518.00306751494406</v>
      </c>
      <c r="CE81" s="355">
        <v>518.00306751494406</v>
      </c>
      <c r="CF81" s="355">
        <v>518.00306751494406</v>
      </c>
      <c r="CG81" s="355">
        <v>518.00306751494406</v>
      </c>
      <c r="CH81" s="355">
        <v>471.31884044260948</v>
      </c>
      <c r="CI81" s="355">
        <v>515.44502767536403</v>
      </c>
      <c r="CJ81" s="355">
        <v>515.44502767536403</v>
      </c>
      <c r="CK81" s="355">
        <v>515.44502767536403</v>
      </c>
      <c r="CL81" s="355">
        <v>515.44502767536403</v>
      </c>
      <c r="CM81" s="355">
        <v>468.76080060302957</v>
      </c>
      <c r="CN81" s="355">
        <v>503.29433843735916</v>
      </c>
      <c r="CO81" s="355">
        <v>503.29433843735916</v>
      </c>
      <c r="CP81" s="355">
        <v>503.29433843735916</v>
      </c>
      <c r="CQ81" s="355">
        <v>503.29433843735916</v>
      </c>
      <c r="CR81" s="355">
        <v>457.88913128481465</v>
      </c>
      <c r="CS81" s="355">
        <v>477.71394004155945</v>
      </c>
      <c r="CT81" s="355">
        <v>477.71394004155945</v>
      </c>
      <c r="CU81" s="355">
        <v>477.71394004155945</v>
      </c>
      <c r="CV81" s="355">
        <v>477.71394004155945</v>
      </c>
      <c r="CW81" s="355">
        <v>434.86677272859498</v>
      </c>
      <c r="CX81" s="355">
        <v>415.04196397185018</v>
      </c>
      <c r="CY81" s="355">
        <v>415.04196397185018</v>
      </c>
      <c r="CZ81" s="355">
        <v>415.04196397185018</v>
      </c>
      <c r="DA81" s="355">
        <v>415.04196397185018</v>
      </c>
      <c r="DB81" s="355">
        <v>377.3108763380456</v>
      </c>
      <c r="DC81" s="355">
        <v>424.63461337027508</v>
      </c>
      <c r="DD81" s="355">
        <v>424.63461337027508</v>
      </c>
      <c r="DE81" s="355">
        <v>424.63461337027508</v>
      </c>
      <c r="DF81" s="355">
        <v>424.63461337027508</v>
      </c>
      <c r="DG81" s="355">
        <v>386.26401577657549</v>
      </c>
      <c r="DH81" s="355">
        <v>449.57550180617977</v>
      </c>
      <c r="DI81" s="355">
        <v>449.57550180617977</v>
      </c>
      <c r="DJ81" s="355">
        <v>449.57550180617977</v>
      </c>
      <c r="DK81" s="355">
        <v>449.57550180617977</v>
      </c>
      <c r="DL81" s="355">
        <v>409.28637433279528</v>
      </c>
      <c r="DM81" s="355">
        <v>406.08882453332029</v>
      </c>
      <c r="DN81" s="355">
        <v>406.08882453332029</v>
      </c>
      <c r="DO81" s="355">
        <v>406.08882453332029</v>
      </c>
      <c r="DP81" s="355">
        <v>406.08882453332029</v>
      </c>
      <c r="DQ81" s="355">
        <v>368.99724685941067</v>
      </c>
      <c r="DR81" s="355">
        <v>381.14793609741554</v>
      </c>
      <c r="DS81" s="355">
        <v>381.14793609741554</v>
      </c>
      <c r="DT81" s="355">
        <v>381.14793609741554</v>
      </c>
      <c r="DU81" s="355">
        <v>381.14793609741554</v>
      </c>
      <c r="DV81" s="355">
        <v>347.25390822298101</v>
      </c>
      <c r="DW81" s="183"/>
    </row>
    <row r="82" spans="1:127" x14ac:dyDescent="0.3">
      <c r="A82" s="258" t="str">
        <f>IF(ABS(B82/F82-1)&lt;0.02,"OK","WARNING")</f>
        <v>OK</v>
      </c>
      <c r="B82" s="67">
        <f>+'Wksh 1 - Market Experience'!X47</f>
        <v>1324543</v>
      </c>
      <c r="C82" s="45"/>
      <c r="D82" s="378"/>
      <c r="E82" s="64" t="s">
        <v>35</v>
      </c>
      <c r="F82" s="261">
        <f>SUM(G82:DV82)</f>
        <v>1324543</v>
      </c>
      <c r="G82" s="286">
        <f t="shared" ref="G82:AL82" si="49">G48</f>
        <v>29062</v>
      </c>
      <c r="H82" s="286">
        <f t="shared" si="49"/>
        <v>3329</v>
      </c>
      <c r="I82" s="286">
        <f t="shared" si="49"/>
        <v>530</v>
      </c>
      <c r="J82" s="286">
        <f t="shared" si="49"/>
        <v>480</v>
      </c>
      <c r="K82" s="286">
        <f t="shared" si="49"/>
        <v>4384</v>
      </c>
      <c r="L82" s="286">
        <f t="shared" si="49"/>
        <v>11018</v>
      </c>
      <c r="M82" s="286">
        <f t="shared" si="49"/>
        <v>1948</v>
      </c>
      <c r="N82" s="286">
        <f t="shared" si="49"/>
        <v>413</v>
      </c>
      <c r="O82" s="286">
        <f t="shared" si="49"/>
        <v>341</v>
      </c>
      <c r="P82" s="286">
        <f t="shared" si="49"/>
        <v>1908</v>
      </c>
      <c r="Q82" s="286">
        <f t="shared" si="49"/>
        <v>6715</v>
      </c>
      <c r="R82" s="286">
        <f t="shared" si="49"/>
        <v>1034</v>
      </c>
      <c r="S82" s="286">
        <f t="shared" si="49"/>
        <v>226</v>
      </c>
      <c r="T82" s="286">
        <f t="shared" si="49"/>
        <v>234</v>
      </c>
      <c r="U82" s="286">
        <f t="shared" si="49"/>
        <v>896</v>
      </c>
      <c r="V82" s="286">
        <f t="shared" si="49"/>
        <v>34632</v>
      </c>
      <c r="W82" s="286">
        <f t="shared" si="49"/>
        <v>5577</v>
      </c>
      <c r="X82" s="286">
        <f t="shared" si="49"/>
        <v>1160</v>
      </c>
      <c r="Y82" s="286">
        <f t="shared" si="49"/>
        <v>1611</v>
      </c>
      <c r="Z82" s="286">
        <f t="shared" si="49"/>
        <v>3859</v>
      </c>
      <c r="AA82" s="286">
        <f t="shared" si="49"/>
        <v>58134</v>
      </c>
      <c r="AB82" s="286">
        <f t="shared" si="49"/>
        <v>10330</v>
      </c>
      <c r="AC82" s="286">
        <f t="shared" si="49"/>
        <v>2200</v>
      </c>
      <c r="AD82" s="286">
        <f t="shared" si="49"/>
        <v>1792</v>
      </c>
      <c r="AE82" s="286">
        <f t="shared" si="49"/>
        <v>7112</v>
      </c>
      <c r="AF82" s="286">
        <f t="shared" si="49"/>
        <v>41494</v>
      </c>
      <c r="AG82" s="286">
        <f t="shared" si="49"/>
        <v>8921</v>
      </c>
      <c r="AH82" s="286">
        <f t="shared" si="49"/>
        <v>1424</v>
      </c>
      <c r="AI82" s="286">
        <f t="shared" si="49"/>
        <v>2139</v>
      </c>
      <c r="AJ82" s="286">
        <f t="shared" si="49"/>
        <v>7539</v>
      </c>
      <c r="AK82" s="286">
        <f t="shared" si="49"/>
        <v>113692</v>
      </c>
      <c r="AL82" s="286">
        <f t="shared" si="49"/>
        <v>19926</v>
      </c>
      <c r="AM82" s="286">
        <f t="shared" ref="AM82:BR82" si="50">AM48</f>
        <v>3910</v>
      </c>
      <c r="AN82" s="286">
        <f t="shared" si="50"/>
        <v>4783</v>
      </c>
      <c r="AO82" s="286">
        <f t="shared" si="50"/>
        <v>13930</v>
      </c>
      <c r="AP82" s="286">
        <f t="shared" si="50"/>
        <v>29455</v>
      </c>
      <c r="AQ82" s="286">
        <f t="shared" si="50"/>
        <v>5008</v>
      </c>
      <c r="AR82" s="286">
        <f t="shared" si="50"/>
        <v>917</v>
      </c>
      <c r="AS82" s="286">
        <f t="shared" si="50"/>
        <v>1255</v>
      </c>
      <c r="AT82" s="286">
        <f t="shared" si="50"/>
        <v>4375</v>
      </c>
      <c r="AU82" s="286">
        <f t="shared" si="50"/>
        <v>106990</v>
      </c>
      <c r="AV82" s="286">
        <f t="shared" si="50"/>
        <v>29953</v>
      </c>
      <c r="AW82" s="286">
        <f t="shared" si="50"/>
        <v>3640</v>
      </c>
      <c r="AX82" s="286">
        <f t="shared" si="50"/>
        <v>8532</v>
      </c>
      <c r="AY82" s="286">
        <f t="shared" si="50"/>
        <v>22924</v>
      </c>
      <c r="AZ82" s="286">
        <f t="shared" si="50"/>
        <v>11887</v>
      </c>
      <c r="BA82" s="286">
        <f t="shared" si="50"/>
        <v>3106</v>
      </c>
      <c r="BB82" s="286">
        <f t="shared" si="50"/>
        <v>499</v>
      </c>
      <c r="BC82" s="286">
        <f t="shared" si="50"/>
        <v>794</v>
      </c>
      <c r="BD82" s="286">
        <f t="shared" si="50"/>
        <v>2506</v>
      </c>
      <c r="BE82" s="286">
        <f t="shared" si="50"/>
        <v>85606</v>
      </c>
      <c r="BF82" s="286">
        <f t="shared" si="50"/>
        <v>15290</v>
      </c>
      <c r="BG82" s="286">
        <f t="shared" si="50"/>
        <v>2346</v>
      </c>
      <c r="BH82" s="286">
        <f t="shared" si="50"/>
        <v>5633</v>
      </c>
      <c r="BI82" s="286">
        <f t="shared" si="50"/>
        <v>14587</v>
      </c>
      <c r="BJ82" s="286">
        <f t="shared" si="50"/>
        <v>5805</v>
      </c>
      <c r="BK82" s="286">
        <f t="shared" si="50"/>
        <v>1536</v>
      </c>
      <c r="BL82" s="286">
        <f t="shared" si="50"/>
        <v>1</v>
      </c>
      <c r="BM82" s="286">
        <f t="shared" si="50"/>
        <v>161</v>
      </c>
      <c r="BN82" s="286">
        <f t="shared" si="50"/>
        <v>359</v>
      </c>
      <c r="BO82" s="286">
        <f t="shared" si="50"/>
        <v>72149</v>
      </c>
      <c r="BP82" s="286">
        <f t="shared" si="50"/>
        <v>6442</v>
      </c>
      <c r="BQ82" s="286">
        <f t="shared" si="50"/>
        <v>815</v>
      </c>
      <c r="BR82" s="286">
        <f t="shared" si="50"/>
        <v>2088</v>
      </c>
      <c r="BS82" s="286">
        <f t="shared" ref="BS82:CX82" si="51">BS48</f>
        <v>7590</v>
      </c>
      <c r="BT82" s="286">
        <f t="shared" si="51"/>
        <v>15711</v>
      </c>
      <c r="BU82" s="286">
        <f t="shared" si="51"/>
        <v>2995</v>
      </c>
      <c r="BV82" s="286">
        <f t="shared" si="51"/>
        <v>304</v>
      </c>
      <c r="BW82" s="286">
        <f t="shared" si="51"/>
        <v>186</v>
      </c>
      <c r="BX82" s="286">
        <f t="shared" si="51"/>
        <v>2835</v>
      </c>
      <c r="BY82" s="286">
        <f t="shared" si="51"/>
        <v>11972</v>
      </c>
      <c r="BZ82" s="286">
        <f t="shared" si="51"/>
        <v>1723</v>
      </c>
      <c r="CA82" s="286">
        <f t="shared" si="51"/>
        <v>251</v>
      </c>
      <c r="CB82" s="286">
        <f t="shared" si="51"/>
        <v>273</v>
      </c>
      <c r="CC82" s="286">
        <f t="shared" si="51"/>
        <v>1470</v>
      </c>
      <c r="CD82" s="286">
        <f t="shared" si="51"/>
        <v>30166</v>
      </c>
      <c r="CE82" s="286">
        <f t="shared" si="51"/>
        <v>3652</v>
      </c>
      <c r="CF82" s="286">
        <f t="shared" si="51"/>
        <v>655</v>
      </c>
      <c r="CG82" s="286">
        <f t="shared" si="51"/>
        <v>851</v>
      </c>
      <c r="CH82" s="286">
        <f t="shared" si="51"/>
        <v>2854</v>
      </c>
      <c r="CI82" s="286">
        <f t="shared" si="51"/>
        <v>29895</v>
      </c>
      <c r="CJ82" s="286">
        <f t="shared" si="51"/>
        <v>6371</v>
      </c>
      <c r="CK82" s="286">
        <f t="shared" si="51"/>
        <v>1203</v>
      </c>
      <c r="CL82" s="286">
        <f t="shared" si="51"/>
        <v>1411</v>
      </c>
      <c r="CM82" s="286">
        <f t="shared" si="51"/>
        <v>3463</v>
      </c>
      <c r="CN82" s="286">
        <f t="shared" si="51"/>
        <v>18674</v>
      </c>
      <c r="CO82" s="286">
        <f t="shared" si="51"/>
        <v>5457</v>
      </c>
      <c r="CP82" s="286">
        <f t="shared" si="51"/>
        <v>929</v>
      </c>
      <c r="CQ82" s="286">
        <f t="shared" si="51"/>
        <v>1114</v>
      </c>
      <c r="CR82" s="286">
        <f t="shared" si="51"/>
        <v>2904</v>
      </c>
      <c r="CS82" s="286">
        <f t="shared" si="51"/>
        <v>34443</v>
      </c>
      <c r="CT82" s="286">
        <f t="shared" si="51"/>
        <v>6197</v>
      </c>
      <c r="CU82" s="286">
        <f t="shared" si="51"/>
        <v>1071</v>
      </c>
      <c r="CV82" s="286">
        <f t="shared" si="51"/>
        <v>1566</v>
      </c>
      <c r="CW82" s="286">
        <f t="shared" si="51"/>
        <v>3566</v>
      </c>
      <c r="CX82" s="286">
        <f t="shared" si="51"/>
        <v>23746</v>
      </c>
      <c r="CY82" s="286">
        <f t="shared" ref="CY82:DV82" si="52">CY48</f>
        <v>4658</v>
      </c>
      <c r="CZ82" s="286">
        <f t="shared" si="52"/>
        <v>434</v>
      </c>
      <c r="DA82" s="286">
        <f t="shared" si="52"/>
        <v>904</v>
      </c>
      <c r="DB82" s="286">
        <f t="shared" si="52"/>
        <v>2459</v>
      </c>
      <c r="DC82" s="286">
        <f t="shared" si="52"/>
        <v>79396</v>
      </c>
      <c r="DD82" s="286">
        <f t="shared" si="52"/>
        <v>30800</v>
      </c>
      <c r="DE82" s="286">
        <f t="shared" si="52"/>
        <v>3621</v>
      </c>
      <c r="DF82" s="286">
        <f t="shared" si="52"/>
        <v>9437</v>
      </c>
      <c r="DG82" s="286">
        <f t="shared" si="52"/>
        <v>19790</v>
      </c>
      <c r="DH82" s="286">
        <f t="shared" si="52"/>
        <v>11504</v>
      </c>
      <c r="DI82" s="286">
        <f t="shared" si="52"/>
        <v>3377</v>
      </c>
      <c r="DJ82" s="286">
        <f t="shared" si="52"/>
        <v>496</v>
      </c>
      <c r="DK82" s="286">
        <f t="shared" si="52"/>
        <v>1416</v>
      </c>
      <c r="DL82" s="286">
        <f t="shared" si="52"/>
        <v>1433</v>
      </c>
      <c r="DM82" s="286">
        <f t="shared" si="52"/>
        <v>37055</v>
      </c>
      <c r="DN82" s="286">
        <f t="shared" si="52"/>
        <v>11661</v>
      </c>
      <c r="DO82" s="286">
        <f t="shared" si="52"/>
        <v>1267</v>
      </c>
      <c r="DP82" s="286">
        <f t="shared" si="52"/>
        <v>4515</v>
      </c>
      <c r="DQ82" s="286">
        <f t="shared" si="52"/>
        <v>8781</v>
      </c>
      <c r="DR82" s="286">
        <f t="shared" si="52"/>
        <v>10251</v>
      </c>
      <c r="DS82" s="286">
        <f t="shared" si="52"/>
        <v>3126</v>
      </c>
      <c r="DT82" s="286">
        <f t="shared" si="52"/>
        <v>115</v>
      </c>
      <c r="DU82" s="286">
        <f t="shared" si="52"/>
        <v>469</v>
      </c>
      <c r="DV82" s="286">
        <f t="shared" si="52"/>
        <v>738</v>
      </c>
      <c r="DW82" s="183"/>
    </row>
    <row r="83" spans="1:127" ht="14.4" customHeight="1" x14ac:dyDescent="0.3">
      <c r="A83" s="258" t="str">
        <f>IF(ABS(B83/F83-1)&lt;0.05,"OK","WARNING")</f>
        <v>OK</v>
      </c>
      <c r="B83" s="69">
        <f>+'Wksh 1 - Market Experience'!X43</f>
        <v>613623748.60814142</v>
      </c>
      <c r="C83" s="45"/>
      <c r="D83" s="378"/>
      <c r="E83" s="70" t="s">
        <v>46</v>
      </c>
      <c r="F83" s="346">
        <f>SUM(G83:DV83)</f>
        <v>621190624.07000029</v>
      </c>
      <c r="G83" s="371">
        <v>17544653.899999999</v>
      </c>
      <c r="H83" s="371">
        <v>2009708.65</v>
      </c>
      <c r="I83" s="371">
        <v>319959.62</v>
      </c>
      <c r="J83" s="371">
        <v>289774.75</v>
      </c>
      <c r="K83" s="371">
        <v>2408302.42</v>
      </c>
      <c r="L83" s="371">
        <v>6489477.2000000002</v>
      </c>
      <c r="M83" s="371">
        <v>1147349.94</v>
      </c>
      <c r="N83" s="371">
        <v>243252.32</v>
      </c>
      <c r="O83" s="371">
        <v>200845.14</v>
      </c>
      <c r="P83" s="371">
        <v>1022515.03</v>
      </c>
      <c r="Q83" s="371">
        <v>3705989</v>
      </c>
      <c r="R83" s="371">
        <v>570661.6</v>
      </c>
      <c r="S83" s="371">
        <v>124728.74</v>
      </c>
      <c r="T83" s="371">
        <v>129143.92</v>
      </c>
      <c r="U83" s="371">
        <v>450378.73</v>
      </c>
      <c r="V83" s="371">
        <v>17939482.23</v>
      </c>
      <c r="W83" s="371">
        <v>2888903.11</v>
      </c>
      <c r="X83" s="371">
        <v>600883.56000000006</v>
      </c>
      <c r="Y83" s="371">
        <v>834502.94</v>
      </c>
      <c r="Z83" s="371">
        <v>1818819.41</v>
      </c>
      <c r="AA83" s="371">
        <v>29964881.239999998</v>
      </c>
      <c r="AB83" s="371">
        <v>5324547.1399999997</v>
      </c>
      <c r="AC83" s="371">
        <v>1133979.06</v>
      </c>
      <c r="AD83" s="371">
        <v>923677.49</v>
      </c>
      <c r="AE83" s="371">
        <v>3333826.81</v>
      </c>
      <c r="AF83" s="371">
        <v>20883695.280000001</v>
      </c>
      <c r="AG83" s="371">
        <v>4489888.79</v>
      </c>
      <c r="AH83" s="371">
        <v>716691.14</v>
      </c>
      <c r="AI83" s="371">
        <v>1076546.5900000001</v>
      </c>
      <c r="AJ83" s="371">
        <v>3452026.16</v>
      </c>
      <c r="AK83" s="371">
        <v>54312253.270000003</v>
      </c>
      <c r="AL83" s="371">
        <v>9518927.9700000007</v>
      </c>
      <c r="AM83" s="371">
        <v>1867861.51</v>
      </c>
      <c r="AN83" s="371">
        <v>2284905.7799999998</v>
      </c>
      <c r="AO83" s="371">
        <v>6057694.1399999997</v>
      </c>
      <c r="AP83" s="371">
        <v>12225061.050000001</v>
      </c>
      <c r="AQ83" s="371">
        <v>2078530.16</v>
      </c>
      <c r="AR83" s="371">
        <v>380593.48</v>
      </c>
      <c r="AS83" s="371">
        <v>520877.66</v>
      </c>
      <c r="AT83" s="371">
        <v>1650735.08</v>
      </c>
      <c r="AU83" s="371">
        <v>45431657.280000001</v>
      </c>
      <c r="AV83" s="371">
        <v>12719080.57</v>
      </c>
      <c r="AW83" s="371">
        <v>1545669.99</v>
      </c>
      <c r="AX83" s="371">
        <v>3622982.52</v>
      </c>
      <c r="AY83" s="371">
        <v>8854716.3000000007</v>
      </c>
      <c r="AZ83" s="371">
        <v>5344103.99</v>
      </c>
      <c r="BA83" s="371">
        <v>1396381.51</v>
      </c>
      <c r="BB83" s="371">
        <v>224338.18</v>
      </c>
      <c r="BC83" s="371">
        <v>356962.95</v>
      </c>
      <c r="BD83" s="371">
        <v>1025671.65</v>
      </c>
      <c r="BE83" s="371">
        <v>34763639.909999996</v>
      </c>
      <c r="BF83" s="371">
        <v>6209098.1299999999</v>
      </c>
      <c r="BG83" s="371">
        <v>952684.38</v>
      </c>
      <c r="BH83" s="371">
        <v>2287498.35</v>
      </c>
      <c r="BI83" s="371">
        <v>5382562.8399999999</v>
      </c>
      <c r="BJ83" s="371">
        <v>2212563.77</v>
      </c>
      <c r="BK83" s="371">
        <v>585443.23</v>
      </c>
      <c r="BL83" s="371">
        <v>381.15</v>
      </c>
      <c r="BM83" s="371">
        <v>61364.82</v>
      </c>
      <c r="BN83" s="371">
        <v>124664.15</v>
      </c>
      <c r="BO83" s="371">
        <v>43556163.869999997</v>
      </c>
      <c r="BP83" s="371">
        <v>3889018.66</v>
      </c>
      <c r="BQ83" s="371">
        <v>492013.38</v>
      </c>
      <c r="BR83" s="371">
        <v>1260520.18</v>
      </c>
      <c r="BS83" s="371">
        <v>4169483.43</v>
      </c>
      <c r="BT83" s="371">
        <v>9253601.0399999991</v>
      </c>
      <c r="BU83" s="371">
        <v>1764021.08</v>
      </c>
      <c r="BV83" s="371">
        <v>179052.56</v>
      </c>
      <c r="BW83" s="371">
        <v>109551.89</v>
      </c>
      <c r="BX83" s="371">
        <v>1519303</v>
      </c>
      <c r="BY83" s="371">
        <v>6607312.0300000003</v>
      </c>
      <c r="BZ83" s="371">
        <v>950918.7</v>
      </c>
      <c r="CA83" s="371">
        <v>138526.17000000001</v>
      </c>
      <c r="CB83" s="371">
        <v>150667.91</v>
      </c>
      <c r="CC83" s="371">
        <v>738902.6</v>
      </c>
      <c r="CD83" s="371">
        <v>15626080.529999999</v>
      </c>
      <c r="CE83" s="371">
        <v>1891747.2</v>
      </c>
      <c r="CF83" s="371">
        <v>339292.01</v>
      </c>
      <c r="CG83" s="371">
        <v>440820.61</v>
      </c>
      <c r="CH83" s="371">
        <v>1345143.97</v>
      </c>
      <c r="CI83" s="371">
        <v>15409229.1</v>
      </c>
      <c r="CJ83" s="371">
        <v>3283900.27</v>
      </c>
      <c r="CK83" s="371">
        <v>620080.37</v>
      </c>
      <c r="CL83" s="371">
        <v>727292.93</v>
      </c>
      <c r="CM83" s="371">
        <v>1623318.65</v>
      </c>
      <c r="CN83" s="371">
        <v>9398518.4800000004</v>
      </c>
      <c r="CO83" s="371">
        <v>2746477.2</v>
      </c>
      <c r="CP83" s="371">
        <v>467560.44</v>
      </c>
      <c r="CQ83" s="371">
        <v>560669.89</v>
      </c>
      <c r="CR83" s="371">
        <v>1329710.04</v>
      </c>
      <c r="CS83" s="371">
        <v>16453901.24</v>
      </c>
      <c r="CT83" s="371">
        <v>2960393.29</v>
      </c>
      <c r="CU83" s="371">
        <v>511631.63</v>
      </c>
      <c r="CV83" s="371">
        <v>748100.03</v>
      </c>
      <c r="CW83" s="371">
        <v>1550734.91</v>
      </c>
      <c r="CX83" s="371">
        <v>9855586.4800000004</v>
      </c>
      <c r="CY83" s="371">
        <v>1933265.47</v>
      </c>
      <c r="CZ83" s="371">
        <v>180128.21</v>
      </c>
      <c r="DA83" s="371">
        <v>375197.94</v>
      </c>
      <c r="DB83" s="371">
        <v>927807.44</v>
      </c>
      <c r="DC83" s="371">
        <v>33714289.759999998</v>
      </c>
      <c r="DD83" s="371">
        <v>13078746.09</v>
      </c>
      <c r="DE83" s="371">
        <v>1537601.94</v>
      </c>
      <c r="DF83" s="371">
        <v>4007276.85</v>
      </c>
      <c r="DG83" s="371">
        <v>7644164.8700000001</v>
      </c>
      <c r="DH83" s="371">
        <v>5171916.57</v>
      </c>
      <c r="DI83" s="371">
        <v>1518216.47</v>
      </c>
      <c r="DJ83" s="371">
        <v>222989.45</v>
      </c>
      <c r="DK83" s="371">
        <v>636598.91</v>
      </c>
      <c r="DL83" s="371">
        <v>586507.37</v>
      </c>
      <c r="DM83" s="371">
        <v>15047621.390000001</v>
      </c>
      <c r="DN83" s="371">
        <v>4735401.78</v>
      </c>
      <c r="DO83" s="371">
        <v>514514.54</v>
      </c>
      <c r="DP83" s="371">
        <v>1833491.04</v>
      </c>
      <c r="DQ83" s="371">
        <v>3240164.82</v>
      </c>
      <c r="DR83" s="371">
        <v>3907147.49</v>
      </c>
      <c r="DS83" s="371">
        <v>1191468.45</v>
      </c>
      <c r="DT83" s="371">
        <v>43832.01</v>
      </c>
      <c r="DU83" s="371">
        <v>178758.38</v>
      </c>
      <c r="DV83" s="371">
        <v>256273.38</v>
      </c>
      <c r="DW83" s="183"/>
    </row>
    <row r="84" spans="1:127" ht="31.2" customHeight="1" x14ac:dyDescent="0.3">
      <c r="B84" s="71"/>
      <c r="C84" s="45"/>
      <c r="D84" s="378"/>
      <c r="E84" s="72" t="s">
        <v>188</v>
      </c>
      <c r="F84" s="350">
        <f>SUMPRODUCT($G$83:$DV$83,G84:DV84)/$F$83</f>
        <v>0.99875492677309652</v>
      </c>
      <c r="G84" s="372">
        <v>0.99829999999999997</v>
      </c>
      <c r="H84" s="372">
        <v>0.99829999999999997</v>
      </c>
      <c r="I84" s="372">
        <v>0.99829999999999997</v>
      </c>
      <c r="J84" s="372">
        <v>0.99829999999999997</v>
      </c>
      <c r="K84" s="372">
        <v>0.99819999999999998</v>
      </c>
      <c r="L84" s="372">
        <v>0.99829999999999997</v>
      </c>
      <c r="M84" s="372">
        <v>0.99829999999999997</v>
      </c>
      <c r="N84" s="372">
        <v>0.99829999999999997</v>
      </c>
      <c r="O84" s="372">
        <v>0.99829999999999997</v>
      </c>
      <c r="P84" s="372">
        <v>0.99809999999999999</v>
      </c>
      <c r="Q84" s="372">
        <v>0.99819999999999998</v>
      </c>
      <c r="R84" s="372">
        <v>0.99819999999999998</v>
      </c>
      <c r="S84" s="372">
        <v>0.99819999999999998</v>
      </c>
      <c r="T84" s="372">
        <v>0.99819999999999998</v>
      </c>
      <c r="U84" s="372">
        <v>0.998</v>
      </c>
      <c r="V84" s="372">
        <v>0.99809999999999999</v>
      </c>
      <c r="W84" s="372">
        <v>0.99809999999999999</v>
      </c>
      <c r="X84" s="372">
        <v>0.99809999999999999</v>
      </c>
      <c r="Y84" s="372">
        <v>0.99809999999999999</v>
      </c>
      <c r="Z84" s="372">
        <v>0.99790000000000001</v>
      </c>
      <c r="AA84" s="372">
        <v>0.99809999999999999</v>
      </c>
      <c r="AB84" s="372">
        <v>0.99809999999999999</v>
      </c>
      <c r="AC84" s="372">
        <v>0.99809999999999999</v>
      </c>
      <c r="AD84" s="372">
        <v>0.99809999999999999</v>
      </c>
      <c r="AE84" s="372">
        <v>0.99790000000000001</v>
      </c>
      <c r="AF84" s="372">
        <v>0.998</v>
      </c>
      <c r="AG84" s="372">
        <v>0.998</v>
      </c>
      <c r="AH84" s="372">
        <v>0.998</v>
      </c>
      <c r="AI84" s="372">
        <v>0.998</v>
      </c>
      <c r="AJ84" s="372">
        <v>0.99780000000000002</v>
      </c>
      <c r="AK84" s="372">
        <v>0.99790000000000001</v>
      </c>
      <c r="AL84" s="372">
        <v>0.99790000000000001</v>
      </c>
      <c r="AM84" s="372">
        <v>0.99790000000000001</v>
      </c>
      <c r="AN84" s="372">
        <v>0.99790000000000001</v>
      </c>
      <c r="AO84" s="372">
        <v>0.99770000000000003</v>
      </c>
      <c r="AP84" s="372">
        <v>0.99760000000000004</v>
      </c>
      <c r="AQ84" s="372">
        <v>0.99760000000000004</v>
      </c>
      <c r="AR84" s="372">
        <v>0.99760000000000004</v>
      </c>
      <c r="AS84" s="372">
        <v>0.99760000000000004</v>
      </c>
      <c r="AT84" s="372">
        <v>0.99729999999999996</v>
      </c>
      <c r="AU84" s="372">
        <v>0.99760000000000004</v>
      </c>
      <c r="AV84" s="372">
        <v>0.99760000000000004</v>
      </c>
      <c r="AW84" s="372">
        <v>0.99760000000000004</v>
      </c>
      <c r="AX84" s="372">
        <v>0.99760000000000004</v>
      </c>
      <c r="AY84" s="372">
        <v>0.99739999999999995</v>
      </c>
      <c r="AZ84" s="372">
        <v>0.99780000000000002</v>
      </c>
      <c r="BA84" s="372">
        <v>0.99780000000000002</v>
      </c>
      <c r="BB84" s="372">
        <v>0.99780000000000002</v>
      </c>
      <c r="BC84" s="372">
        <v>0.99780000000000002</v>
      </c>
      <c r="BD84" s="372">
        <v>0.99760000000000004</v>
      </c>
      <c r="BE84" s="372">
        <v>0.99750000000000005</v>
      </c>
      <c r="BF84" s="372">
        <v>0.99750000000000005</v>
      </c>
      <c r="BG84" s="372">
        <v>0.99750000000000005</v>
      </c>
      <c r="BH84" s="372">
        <v>0.99750000000000005</v>
      </c>
      <c r="BI84" s="372">
        <v>0.99729999999999996</v>
      </c>
      <c r="BJ84" s="372">
        <v>0.99739999999999995</v>
      </c>
      <c r="BK84" s="372">
        <v>0.99739999999999995</v>
      </c>
      <c r="BL84" s="372">
        <v>0.99739999999999995</v>
      </c>
      <c r="BM84" s="372">
        <v>0.99739999999999995</v>
      </c>
      <c r="BN84" s="372">
        <v>0.99709999999999999</v>
      </c>
      <c r="BO84" s="372">
        <v>1</v>
      </c>
      <c r="BP84" s="372">
        <v>1</v>
      </c>
      <c r="BQ84" s="372">
        <v>1</v>
      </c>
      <c r="BR84" s="372">
        <v>1</v>
      </c>
      <c r="BS84" s="372">
        <v>1</v>
      </c>
      <c r="BT84" s="372">
        <v>1</v>
      </c>
      <c r="BU84" s="372">
        <v>1</v>
      </c>
      <c r="BV84" s="372">
        <v>1</v>
      </c>
      <c r="BW84" s="372">
        <v>1</v>
      </c>
      <c r="BX84" s="372">
        <v>1</v>
      </c>
      <c r="BY84" s="372">
        <v>1</v>
      </c>
      <c r="BZ84" s="372">
        <v>1</v>
      </c>
      <c r="CA84" s="372">
        <v>1</v>
      </c>
      <c r="CB84" s="372">
        <v>1</v>
      </c>
      <c r="CC84" s="372">
        <v>1</v>
      </c>
      <c r="CD84" s="372">
        <v>1</v>
      </c>
      <c r="CE84" s="372">
        <v>1</v>
      </c>
      <c r="CF84" s="372">
        <v>1</v>
      </c>
      <c r="CG84" s="372">
        <v>1</v>
      </c>
      <c r="CH84" s="372">
        <v>1</v>
      </c>
      <c r="CI84" s="372">
        <v>1</v>
      </c>
      <c r="CJ84" s="372">
        <v>1</v>
      </c>
      <c r="CK84" s="372">
        <v>1</v>
      </c>
      <c r="CL84" s="372">
        <v>1</v>
      </c>
      <c r="CM84" s="372">
        <v>1</v>
      </c>
      <c r="CN84" s="372">
        <v>1</v>
      </c>
      <c r="CO84" s="372">
        <v>1</v>
      </c>
      <c r="CP84" s="372">
        <v>1</v>
      </c>
      <c r="CQ84" s="372">
        <v>1</v>
      </c>
      <c r="CR84" s="372">
        <v>1</v>
      </c>
      <c r="CS84" s="372">
        <v>1</v>
      </c>
      <c r="CT84" s="372">
        <v>1</v>
      </c>
      <c r="CU84" s="372">
        <v>1</v>
      </c>
      <c r="CV84" s="372">
        <v>1</v>
      </c>
      <c r="CW84" s="372">
        <v>1</v>
      </c>
      <c r="CX84" s="372">
        <v>1</v>
      </c>
      <c r="CY84" s="372">
        <v>1</v>
      </c>
      <c r="CZ84" s="372">
        <v>1</v>
      </c>
      <c r="DA84" s="372">
        <v>1</v>
      </c>
      <c r="DB84" s="372">
        <v>1</v>
      </c>
      <c r="DC84" s="372">
        <v>1</v>
      </c>
      <c r="DD84" s="372">
        <v>1</v>
      </c>
      <c r="DE84" s="372">
        <v>1</v>
      </c>
      <c r="DF84" s="372">
        <v>1</v>
      </c>
      <c r="DG84" s="372">
        <v>1</v>
      </c>
      <c r="DH84" s="372">
        <v>1</v>
      </c>
      <c r="DI84" s="372">
        <v>1</v>
      </c>
      <c r="DJ84" s="372">
        <v>1</v>
      </c>
      <c r="DK84" s="372">
        <v>1</v>
      </c>
      <c r="DL84" s="372">
        <v>1</v>
      </c>
      <c r="DM84" s="372">
        <v>1</v>
      </c>
      <c r="DN84" s="372">
        <v>1</v>
      </c>
      <c r="DO84" s="372">
        <v>1</v>
      </c>
      <c r="DP84" s="372">
        <v>1</v>
      </c>
      <c r="DQ84" s="372">
        <v>1</v>
      </c>
      <c r="DR84" s="372">
        <v>1</v>
      </c>
      <c r="DS84" s="372">
        <v>1</v>
      </c>
      <c r="DT84" s="372">
        <v>1</v>
      </c>
      <c r="DU84" s="372">
        <v>1</v>
      </c>
      <c r="DV84" s="372">
        <v>1</v>
      </c>
      <c r="DW84" s="183"/>
    </row>
    <row r="85" spans="1:127" ht="31.2" customHeight="1" x14ac:dyDescent="0.3">
      <c r="B85" s="71"/>
      <c r="C85" s="45"/>
      <c r="D85" s="378"/>
      <c r="E85" s="72" t="s">
        <v>66</v>
      </c>
      <c r="F85" s="350">
        <f>SUMPRODUCT($G$83:$DV$83,G85:DV85)/$F$83</f>
        <v>0</v>
      </c>
      <c r="G85" s="372">
        <v>0</v>
      </c>
      <c r="H85" s="372">
        <v>0</v>
      </c>
      <c r="I85" s="372">
        <v>0</v>
      </c>
      <c r="J85" s="372">
        <v>0</v>
      </c>
      <c r="K85" s="372">
        <v>0</v>
      </c>
      <c r="L85" s="372">
        <v>0</v>
      </c>
      <c r="M85" s="372">
        <v>0</v>
      </c>
      <c r="N85" s="372">
        <v>0</v>
      </c>
      <c r="O85" s="372">
        <v>0</v>
      </c>
      <c r="P85" s="372">
        <v>0</v>
      </c>
      <c r="Q85" s="372">
        <v>0</v>
      </c>
      <c r="R85" s="372">
        <v>0</v>
      </c>
      <c r="S85" s="372">
        <v>0</v>
      </c>
      <c r="T85" s="372">
        <v>0</v>
      </c>
      <c r="U85" s="372">
        <v>0</v>
      </c>
      <c r="V85" s="372">
        <v>0</v>
      </c>
      <c r="W85" s="372">
        <v>0</v>
      </c>
      <c r="X85" s="372">
        <v>0</v>
      </c>
      <c r="Y85" s="372">
        <v>0</v>
      </c>
      <c r="Z85" s="372">
        <v>0</v>
      </c>
      <c r="AA85" s="372">
        <v>0</v>
      </c>
      <c r="AB85" s="372">
        <v>0</v>
      </c>
      <c r="AC85" s="372">
        <v>0</v>
      </c>
      <c r="AD85" s="372">
        <v>0</v>
      </c>
      <c r="AE85" s="372">
        <v>0</v>
      </c>
      <c r="AF85" s="372">
        <v>0</v>
      </c>
      <c r="AG85" s="372">
        <v>0</v>
      </c>
      <c r="AH85" s="372">
        <v>0</v>
      </c>
      <c r="AI85" s="372">
        <v>0</v>
      </c>
      <c r="AJ85" s="372">
        <v>0</v>
      </c>
      <c r="AK85" s="372">
        <v>0</v>
      </c>
      <c r="AL85" s="372">
        <v>0</v>
      </c>
      <c r="AM85" s="372">
        <v>0</v>
      </c>
      <c r="AN85" s="372">
        <v>0</v>
      </c>
      <c r="AO85" s="372">
        <v>0</v>
      </c>
      <c r="AP85" s="372">
        <v>0</v>
      </c>
      <c r="AQ85" s="372">
        <v>0</v>
      </c>
      <c r="AR85" s="372">
        <v>0</v>
      </c>
      <c r="AS85" s="372">
        <v>0</v>
      </c>
      <c r="AT85" s="372">
        <v>0</v>
      </c>
      <c r="AU85" s="372">
        <v>0</v>
      </c>
      <c r="AV85" s="372">
        <v>0</v>
      </c>
      <c r="AW85" s="372">
        <v>0</v>
      </c>
      <c r="AX85" s="372">
        <v>0</v>
      </c>
      <c r="AY85" s="372">
        <v>0</v>
      </c>
      <c r="AZ85" s="372">
        <v>0</v>
      </c>
      <c r="BA85" s="372">
        <v>0</v>
      </c>
      <c r="BB85" s="372">
        <v>0</v>
      </c>
      <c r="BC85" s="372">
        <v>0</v>
      </c>
      <c r="BD85" s="372">
        <v>0</v>
      </c>
      <c r="BE85" s="372">
        <v>0</v>
      </c>
      <c r="BF85" s="372">
        <v>0</v>
      </c>
      <c r="BG85" s="372">
        <v>0</v>
      </c>
      <c r="BH85" s="372">
        <v>0</v>
      </c>
      <c r="BI85" s="372">
        <v>0</v>
      </c>
      <c r="BJ85" s="372">
        <v>0</v>
      </c>
      <c r="BK85" s="372">
        <v>0</v>
      </c>
      <c r="BL85" s="372">
        <v>0</v>
      </c>
      <c r="BM85" s="372">
        <v>0</v>
      </c>
      <c r="BN85" s="372">
        <v>0</v>
      </c>
      <c r="BO85" s="372">
        <v>0</v>
      </c>
      <c r="BP85" s="372">
        <v>0</v>
      </c>
      <c r="BQ85" s="372">
        <v>0</v>
      </c>
      <c r="BR85" s="372">
        <v>0</v>
      </c>
      <c r="BS85" s="372">
        <v>0</v>
      </c>
      <c r="BT85" s="372">
        <v>0</v>
      </c>
      <c r="BU85" s="372">
        <v>0</v>
      </c>
      <c r="BV85" s="372">
        <v>0</v>
      </c>
      <c r="BW85" s="372">
        <v>0</v>
      </c>
      <c r="BX85" s="372">
        <v>0</v>
      </c>
      <c r="BY85" s="372">
        <v>0</v>
      </c>
      <c r="BZ85" s="372">
        <v>0</v>
      </c>
      <c r="CA85" s="372">
        <v>0</v>
      </c>
      <c r="CB85" s="372">
        <v>0</v>
      </c>
      <c r="CC85" s="372">
        <v>0</v>
      </c>
      <c r="CD85" s="372">
        <v>0</v>
      </c>
      <c r="CE85" s="372">
        <v>0</v>
      </c>
      <c r="CF85" s="372">
        <v>0</v>
      </c>
      <c r="CG85" s="372">
        <v>0</v>
      </c>
      <c r="CH85" s="372">
        <v>0</v>
      </c>
      <c r="CI85" s="372">
        <v>0</v>
      </c>
      <c r="CJ85" s="372">
        <v>0</v>
      </c>
      <c r="CK85" s="372">
        <v>0</v>
      </c>
      <c r="CL85" s="372">
        <v>0</v>
      </c>
      <c r="CM85" s="372">
        <v>0</v>
      </c>
      <c r="CN85" s="372">
        <v>0</v>
      </c>
      <c r="CO85" s="372">
        <v>0</v>
      </c>
      <c r="CP85" s="372">
        <v>0</v>
      </c>
      <c r="CQ85" s="372">
        <v>0</v>
      </c>
      <c r="CR85" s="372">
        <v>0</v>
      </c>
      <c r="CS85" s="372">
        <v>0</v>
      </c>
      <c r="CT85" s="372">
        <v>0</v>
      </c>
      <c r="CU85" s="372">
        <v>0</v>
      </c>
      <c r="CV85" s="372">
        <v>0</v>
      </c>
      <c r="CW85" s="372">
        <v>0</v>
      </c>
      <c r="CX85" s="372">
        <v>0</v>
      </c>
      <c r="CY85" s="372">
        <v>0</v>
      </c>
      <c r="CZ85" s="372">
        <v>0</v>
      </c>
      <c r="DA85" s="372">
        <v>0</v>
      </c>
      <c r="DB85" s="372">
        <v>0</v>
      </c>
      <c r="DC85" s="372">
        <v>0</v>
      </c>
      <c r="DD85" s="372">
        <v>0</v>
      </c>
      <c r="DE85" s="372">
        <v>0</v>
      </c>
      <c r="DF85" s="372">
        <v>0</v>
      </c>
      <c r="DG85" s="372">
        <v>0</v>
      </c>
      <c r="DH85" s="372">
        <v>0</v>
      </c>
      <c r="DI85" s="372">
        <v>0</v>
      </c>
      <c r="DJ85" s="372">
        <v>0</v>
      </c>
      <c r="DK85" s="372">
        <v>0</v>
      </c>
      <c r="DL85" s="372">
        <v>0</v>
      </c>
      <c r="DM85" s="372">
        <v>0</v>
      </c>
      <c r="DN85" s="372">
        <v>0</v>
      </c>
      <c r="DO85" s="372">
        <v>0</v>
      </c>
      <c r="DP85" s="372">
        <v>0</v>
      </c>
      <c r="DQ85" s="372">
        <v>0</v>
      </c>
      <c r="DR85" s="372">
        <v>0</v>
      </c>
      <c r="DS85" s="372">
        <v>0</v>
      </c>
      <c r="DT85" s="372">
        <v>0</v>
      </c>
      <c r="DU85" s="372">
        <v>0</v>
      </c>
      <c r="DV85" s="372">
        <v>0</v>
      </c>
      <c r="DW85" s="183"/>
    </row>
    <row r="86" spans="1:127" ht="14.4" customHeight="1" x14ac:dyDescent="0.3">
      <c r="B86" s="71"/>
      <c r="C86" s="45"/>
      <c r="D86" s="378"/>
      <c r="E86" s="72" t="s">
        <v>67</v>
      </c>
      <c r="F86" s="350">
        <f>1-F84-F85</f>
        <v>1.2450732269034814E-3</v>
      </c>
      <c r="G86" s="270">
        <f t="shared" ref="G86:AL86" si="53">1-G85-G84</f>
        <v>1.7000000000000348E-3</v>
      </c>
      <c r="H86" s="270">
        <f t="shared" si="53"/>
        <v>1.7000000000000348E-3</v>
      </c>
      <c r="I86" s="270">
        <f t="shared" si="53"/>
        <v>1.7000000000000348E-3</v>
      </c>
      <c r="J86" s="270">
        <f t="shared" si="53"/>
        <v>1.7000000000000348E-3</v>
      </c>
      <c r="K86" s="270">
        <f t="shared" si="53"/>
        <v>1.8000000000000238E-3</v>
      </c>
      <c r="L86" s="270">
        <f t="shared" si="53"/>
        <v>1.7000000000000348E-3</v>
      </c>
      <c r="M86" s="270">
        <f t="shared" si="53"/>
        <v>1.7000000000000348E-3</v>
      </c>
      <c r="N86" s="270">
        <f t="shared" si="53"/>
        <v>1.7000000000000348E-3</v>
      </c>
      <c r="O86" s="270">
        <f t="shared" si="53"/>
        <v>1.7000000000000348E-3</v>
      </c>
      <c r="P86" s="270">
        <f t="shared" si="53"/>
        <v>1.9000000000000128E-3</v>
      </c>
      <c r="Q86" s="270">
        <f t="shared" si="53"/>
        <v>1.8000000000000238E-3</v>
      </c>
      <c r="R86" s="270">
        <f t="shared" si="53"/>
        <v>1.8000000000000238E-3</v>
      </c>
      <c r="S86" s="270">
        <f t="shared" si="53"/>
        <v>1.8000000000000238E-3</v>
      </c>
      <c r="T86" s="270">
        <f t="shared" si="53"/>
        <v>1.8000000000000238E-3</v>
      </c>
      <c r="U86" s="270">
        <f t="shared" si="53"/>
        <v>2.0000000000000018E-3</v>
      </c>
      <c r="V86" s="270">
        <f t="shared" si="53"/>
        <v>1.9000000000000128E-3</v>
      </c>
      <c r="W86" s="270">
        <f t="shared" si="53"/>
        <v>1.9000000000000128E-3</v>
      </c>
      <c r="X86" s="270">
        <f t="shared" si="53"/>
        <v>1.9000000000000128E-3</v>
      </c>
      <c r="Y86" s="270">
        <f t="shared" si="53"/>
        <v>1.9000000000000128E-3</v>
      </c>
      <c r="Z86" s="270">
        <f t="shared" si="53"/>
        <v>2.0999999999999908E-3</v>
      </c>
      <c r="AA86" s="270">
        <f t="shared" si="53"/>
        <v>1.9000000000000128E-3</v>
      </c>
      <c r="AB86" s="270">
        <f t="shared" si="53"/>
        <v>1.9000000000000128E-3</v>
      </c>
      <c r="AC86" s="270">
        <f t="shared" si="53"/>
        <v>1.9000000000000128E-3</v>
      </c>
      <c r="AD86" s="270">
        <f t="shared" si="53"/>
        <v>1.9000000000000128E-3</v>
      </c>
      <c r="AE86" s="270">
        <f t="shared" si="53"/>
        <v>2.0999999999999908E-3</v>
      </c>
      <c r="AF86" s="270">
        <f t="shared" si="53"/>
        <v>2.0000000000000018E-3</v>
      </c>
      <c r="AG86" s="270">
        <f t="shared" si="53"/>
        <v>2.0000000000000018E-3</v>
      </c>
      <c r="AH86" s="270">
        <f t="shared" si="53"/>
        <v>2.0000000000000018E-3</v>
      </c>
      <c r="AI86" s="270">
        <f t="shared" si="53"/>
        <v>2.0000000000000018E-3</v>
      </c>
      <c r="AJ86" s="270">
        <f t="shared" si="53"/>
        <v>2.1999999999999797E-3</v>
      </c>
      <c r="AK86" s="270">
        <f t="shared" si="53"/>
        <v>2.0999999999999908E-3</v>
      </c>
      <c r="AL86" s="270">
        <f t="shared" si="53"/>
        <v>2.0999999999999908E-3</v>
      </c>
      <c r="AM86" s="270">
        <f t="shared" ref="AM86:BR86" si="54">1-AM85-AM84</f>
        <v>2.0999999999999908E-3</v>
      </c>
      <c r="AN86" s="270">
        <f t="shared" si="54"/>
        <v>2.0999999999999908E-3</v>
      </c>
      <c r="AO86" s="270">
        <f t="shared" si="54"/>
        <v>2.2999999999999687E-3</v>
      </c>
      <c r="AP86" s="270">
        <f t="shared" si="54"/>
        <v>2.3999999999999577E-3</v>
      </c>
      <c r="AQ86" s="270">
        <f t="shared" si="54"/>
        <v>2.3999999999999577E-3</v>
      </c>
      <c r="AR86" s="270">
        <f t="shared" si="54"/>
        <v>2.3999999999999577E-3</v>
      </c>
      <c r="AS86" s="270">
        <f t="shared" si="54"/>
        <v>2.3999999999999577E-3</v>
      </c>
      <c r="AT86" s="270">
        <f t="shared" si="54"/>
        <v>2.7000000000000357E-3</v>
      </c>
      <c r="AU86" s="270">
        <f t="shared" si="54"/>
        <v>2.3999999999999577E-3</v>
      </c>
      <c r="AV86" s="270">
        <f t="shared" si="54"/>
        <v>2.3999999999999577E-3</v>
      </c>
      <c r="AW86" s="270">
        <f t="shared" si="54"/>
        <v>2.3999999999999577E-3</v>
      </c>
      <c r="AX86" s="270">
        <f t="shared" si="54"/>
        <v>2.3999999999999577E-3</v>
      </c>
      <c r="AY86" s="270">
        <f t="shared" si="54"/>
        <v>2.6000000000000467E-3</v>
      </c>
      <c r="AZ86" s="270">
        <f t="shared" si="54"/>
        <v>2.1999999999999797E-3</v>
      </c>
      <c r="BA86" s="270">
        <f t="shared" si="54"/>
        <v>2.1999999999999797E-3</v>
      </c>
      <c r="BB86" s="270">
        <f t="shared" si="54"/>
        <v>2.1999999999999797E-3</v>
      </c>
      <c r="BC86" s="270">
        <f t="shared" si="54"/>
        <v>2.1999999999999797E-3</v>
      </c>
      <c r="BD86" s="270">
        <f t="shared" si="54"/>
        <v>2.3999999999999577E-3</v>
      </c>
      <c r="BE86" s="270">
        <f t="shared" si="54"/>
        <v>2.4999999999999467E-3</v>
      </c>
      <c r="BF86" s="270">
        <f t="shared" si="54"/>
        <v>2.4999999999999467E-3</v>
      </c>
      <c r="BG86" s="270">
        <f t="shared" si="54"/>
        <v>2.4999999999999467E-3</v>
      </c>
      <c r="BH86" s="270">
        <f t="shared" si="54"/>
        <v>2.4999999999999467E-3</v>
      </c>
      <c r="BI86" s="270">
        <f t="shared" si="54"/>
        <v>2.7000000000000357E-3</v>
      </c>
      <c r="BJ86" s="270">
        <f t="shared" si="54"/>
        <v>2.6000000000000467E-3</v>
      </c>
      <c r="BK86" s="270">
        <f t="shared" si="54"/>
        <v>2.6000000000000467E-3</v>
      </c>
      <c r="BL86" s="270">
        <f t="shared" si="54"/>
        <v>2.6000000000000467E-3</v>
      </c>
      <c r="BM86" s="270">
        <f t="shared" si="54"/>
        <v>2.6000000000000467E-3</v>
      </c>
      <c r="BN86" s="270">
        <f t="shared" si="54"/>
        <v>2.9000000000000137E-3</v>
      </c>
      <c r="BO86" s="270">
        <f t="shared" si="54"/>
        <v>0</v>
      </c>
      <c r="BP86" s="270">
        <f t="shared" si="54"/>
        <v>0</v>
      </c>
      <c r="BQ86" s="270">
        <f t="shared" si="54"/>
        <v>0</v>
      </c>
      <c r="BR86" s="270">
        <f t="shared" si="54"/>
        <v>0</v>
      </c>
      <c r="BS86" s="270">
        <f t="shared" ref="BS86:CX86" si="55">1-BS85-BS84</f>
        <v>0</v>
      </c>
      <c r="BT86" s="270">
        <f t="shared" si="55"/>
        <v>0</v>
      </c>
      <c r="BU86" s="270">
        <f t="shared" si="55"/>
        <v>0</v>
      </c>
      <c r="BV86" s="270">
        <f t="shared" si="55"/>
        <v>0</v>
      </c>
      <c r="BW86" s="270">
        <f t="shared" si="55"/>
        <v>0</v>
      </c>
      <c r="BX86" s="270">
        <f t="shared" si="55"/>
        <v>0</v>
      </c>
      <c r="BY86" s="270">
        <f t="shared" si="55"/>
        <v>0</v>
      </c>
      <c r="BZ86" s="270">
        <f t="shared" si="55"/>
        <v>0</v>
      </c>
      <c r="CA86" s="270">
        <f t="shared" si="55"/>
        <v>0</v>
      </c>
      <c r="CB86" s="270">
        <f t="shared" si="55"/>
        <v>0</v>
      </c>
      <c r="CC86" s="270">
        <f t="shared" si="55"/>
        <v>0</v>
      </c>
      <c r="CD86" s="270">
        <f t="shared" si="55"/>
        <v>0</v>
      </c>
      <c r="CE86" s="270">
        <f t="shared" si="55"/>
        <v>0</v>
      </c>
      <c r="CF86" s="270">
        <f t="shared" si="55"/>
        <v>0</v>
      </c>
      <c r="CG86" s="270">
        <f t="shared" si="55"/>
        <v>0</v>
      </c>
      <c r="CH86" s="270">
        <f t="shared" si="55"/>
        <v>0</v>
      </c>
      <c r="CI86" s="270">
        <f t="shared" si="55"/>
        <v>0</v>
      </c>
      <c r="CJ86" s="270">
        <f t="shared" si="55"/>
        <v>0</v>
      </c>
      <c r="CK86" s="270">
        <f t="shared" si="55"/>
        <v>0</v>
      </c>
      <c r="CL86" s="270">
        <f t="shared" si="55"/>
        <v>0</v>
      </c>
      <c r="CM86" s="270">
        <f t="shared" si="55"/>
        <v>0</v>
      </c>
      <c r="CN86" s="270">
        <f t="shared" si="55"/>
        <v>0</v>
      </c>
      <c r="CO86" s="270">
        <f t="shared" si="55"/>
        <v>0</v>
      </c>
      <c r="CP86" s="270">
        <f t="shared" si="55"/>
        <v>0</v>
      </c>
      <c r="CQ86" s="270">
        <f t="shared" si="55"/>
        <v>0</v>
      </c>
      <c r="CR86" s="270">
        <f t="shared" si="55"/>
        <v>0</v>
      </c>
      <c r="CS86" s="270">
        <f t="shared" si="55"/>
        <v>0</v>
      </c>
      <c r="CT86" s="270">
        <f t="shared" si="55"/>
        <v>0</v>
      </c>
      <c r="CU86" s="270">
        <f t="shared" si="55"/>
        <v>0</v>
      </c>
      <c r="CV86" s="270">
        <f t="shared" si="55"/>
        <v>0</v>
      </c>
      <c r="CW86" s="270">
        <f t="shared" si="55"/>
        <v>0</v>
      </c>
      <c r="CX86" s="270">
        <f t="shared" si="55"/>
        <v>0</v>
      </c>
      <c r="CY86" s="270">
        <f t="shared" ref="CY86:DV86" si="56">1-CY85-CY84</f>
        <v>0</v>
      </c>
      <c r="CZ86" s="270">
        <f t="shared" si="56"/>
        <v>0</v>
      </c>
      <c r="DA86" s="270">
        <f t="shared" si="56"/>
        <v>0</v>
      </c>
      <c r="DB86" s="270">
        <f t="shared" si="56"/>
        <v>0</v>
      </c>
      <c r="DC86" s="270">
        <f t="shared" si="56"/>
        <v>0</v>
      </c>
      <c r="DD86" s="270">
        <f t="shared" si="56"/>
        <v>0</v>
      </c>
      <c r="DE86" s="270">
        <f t="shared" si="56"/>
        <v>0</v>
      </c>
      <c r="DF86" s="270">
        <f t="shared" si="56"/>
        <v>0</v>
      </c>
      <c r="DG86" s="270">
        <f t="shared" si="56"/>
        <v>0</v>
      </c>
      <c r="DH86" s="270">
        <f t="shared" si="56"/>
        <v>0</v>
      </c>
      <c r="DI86" s="270">
        <f t="shared" si="56"/>
        <v>0</v>
      </c>
      <c r="DJ86" s="270">
        <f t="shared" si="56"/>
        <v>0</v>
      </c>
      <c r="DK86" s="270">
        <f t="shared" si="56"/>
        <v>0</v>
      </c>
      <c r="DL86" s="270">
        <f t="shared" si="56"/>
        <v>0</v>
      </c>
      <c r="DM86" s="270">
        <f t="shared" si="56"/>
        <v>0</v>
      </c>
      <c r="DN86" s="270">
        <f t="shared" si="56"/>
        <v>0</v>
      </c>
      <c r="DO86" s="270">
        <f t="shared" si="56"/>
        <v>0</v>
      </c>
      <c r="DP86" s="270">
        <f t="shared" si="56"/>
        <v>0</v>
      </c>
      <c r="DQ86" s="270">
        <f t="shared" si="56"/>
        <v>0</v>
      </c>
      <c r="DR86" s="270">
        <f t="shared" si="56"/>
        <v>0</v>
      </c>
      <c r="DS86" s="270">
        <f t="shared" si="56"/>
        <v>0</v>
      </c>
      <c r="DT86" s="270">
        <f t="shared" si="56"/>
        <v>0</v>
      </c>
      <c r="DU86" s="270">
        <f t="shared" si="56"/>
        <v>0</v>
      </c>
      <c r="DV86" s="270">
        <f t="shared" si="56"/>
        <v>0</v>
      </c>
      <c r="DW86" s="183"/>
    </row>
    <row r="87" spans="1:127" x14ac:dyDescent="0.3">
      <c r="A87" s="258" t="str">
        <f>IF(ABS(B87/F87-1)&lt;0.1,"OK","WARNING")</f>
        <v>OK</v>
      </c>
      <c r="B87" s="67">
        <f>'Wksh 1 - Market Experience'!X32</f>
        <v>563158630.20926929</v>
      </c>
      <c r="C87" s="45"/>
      <c r="D87" s="377" t="s">
        <v>45</v>
      </c>
      <c r="E87" s="73" t="s">
        <v>68</v>
      </c>
      <c r="F87" s="346">
        <f>SUM(G87:DV87)</f>
        <v>563158630.20926917</v>
      </c>
      <c r="G87" s="347">
        <v>13168172.612018967</v>
      </c>
      <c r="H87" s="347">
        <v>1508390.5658733447</v>
      </c>
      <c r="I87" s="347">
        <v>240146.29015105817</v>
      </c>
      <c r="J87" s="347">
        <v>217490.97975944891</v>
      </c>
      <c r="K87" s="347">
        <v>1807640.0297740335</v>
      </c>
      <c r="L87" s="347">
        <v>5051637.4192797374</v>
      </c>
      <c r="M87" s="347">
        <v>893137.56514403061</v>
      </c>
      <c r="N87" s="347">
        <v>189356.16755877034</v>
      </c>
      <c r="O87" s="347">
        <v>156344.92285118811</v>
      </c>
      <c r="P87" s="347">
        <v>796066.16612334561</v>
      </c>
      <c r="Q87" s="347">
        <v>3010631.6025411026</v>
      </c>
      <c r="R87" s="347">
        <v>463587.94892442296</v>
      </c>
      <c r="S87" s="347">
        <v>101325.79928135357</v>
      </c>
      <c r="T87" s="347">
        <v>104912.55323821564</v>
      </c>
      <c r="U87" s="347">
        <v>365561.96328338253</v>
      </c>
      <c r="V87" s="347">
        <v>15492194.968165742</v>
      </c>
      <c r="W87" s="347">
        <v>2494801.6671708347</v>
      </c>
      <c r="X87" s="347">
        <v>518911.58937030088</v>
      </c>
      <c r="Y87" s="347">
        <v>720660.83661685756</v>
      </c>
      <c r="Z87" s="347">
        <v>1570910.8959274066</v>
      </c>
      <c r="AA87" s="347">
        <v>26508893.444152005</v>
      </c>
      <c r="AB87" s="347">
        <v>4710442.5857173121</v>
      </c>
      <c r="AC87" s="347">
        <v>1003192.03180814</v>
      </c>
      <c r="AD87" s="347">
        <v>817145.50954553951</v>
      </c>
      <c r="AE87" s="347">
        <v>2951172.0793180624</v>
      </c>
      <c r="AF87" s="347">
        <v>18450377.101811778</v>
      </c>
      <c r="AG87" s="347">
        <v>3966737.7000352549</v>
      </c>
      <c r="AH87" s="347">
        <v>633184.00233720464</v>
      </c>
      <c r="AI87" s="347">
        <v>951109.9585669107</v>
      </c>
      <c r="AJ87" s="347">
        <v>3050528.4523836854</v>
      </c>
      <c r="AK87" s="347">
        <v>51249804.467374429</v>
      </c>
      <c r="AL87" s="347">
        <v>8982194.0313909762</v>
      </c>
      <c r="AM87" s="347">
        <v>1762540.3323666926</v>
      </c>
      <c r="AN87" s="347">
        <v>2156069.158493578</v>
      </c>
      <c r="AO87" s="347">
        <v>5714191.819739107</v>
      </c>
      <c r="AP87" s="347">
        <v>11912851.916751832</v>
      </c>
      <c r="AQ87" s="347">
        <v>2025447.7134304252</v>
      </c>
      <c r="AR87" s="347">
        <v>370873.71270281548</v>
      </c>
      <c r="AS87" s="347">
        <v>507575.25566197751</v>
      </c>
      <c r="AT87" s="347">
        <v>1610186.4435093612</v>
      </c>
      <c r="AU87" s="347">
        <v>43509198.019387864</v>
      </c>
      <c r="AV87" s="347">
        <v>12180867.44812342</v>
      </c>
      <c r="AW87" s="347">
        <v>1480264.3311577886</v>
      </c>
      <c r="AX87" s="347">
        <v>3469674.5256698499</v>
      </c>
      <c r="AY87" s="347">
        <v>8483394.8818652853</v>
      </c>
      <c r="AZ87" s="347">
        <v>4949641.2404141193</v>
      </c>
      <c r="BA87" s="347">
        <v>1293310.8179293561</v>
      </c>
      <c r="BB87" s="347">
        <v>207779.16875297768</v>
      </c>
      <c r="BC87" s="347">
        <v>330614.54907788429</v>
      </c>
      <c r="BD87" s="347">
        <v>949563.29293470026</v>
      </c>
      <c r="BE87" s="347">
        <v>34316736.0369877</v>
      </c>
      <c r="BF87" s="347">
        <v>6129277.0834467439</v>
      </c>
      <c r="BG87" s="347">
        <v>940437.15093303216</v>
      </c>
      <c r="BH87" s="347">
        <v>2258091.4199513085</v>
      </c>
      <c r="BI87" s="347">
        <v>5321194.6358911879</v>
      </c>
      <c r="BJ87" s="347">
        <v>2387491.245326526</v>
      </c>
      <c r="BK87" s="347">
        <v>631728.94966779393</v>
      </c>
      <c r="BL87" s="347">
        <v>411.28186827330336</v>
      </c>
      <c r="BM87" s="347">
        <v>66216.380792001844</v>
      </c>
      <c r="BN87" s="347">
        <v>134361.67354620548</v>
      </c>
      <c r="BO87" s="347">
        <v>32691159.788884334</v>
      </c>
      <c r="BP87" s="347">
        <v>2918910.1908549373</v>
      </c>
      <c r="BQ87" s="347">
        <v>369281.55938323098</v>
      </c>
      <c r="BR87" s="347">
        <v>946085.76195360278</v>
      </c>
      <c r="BS87" s="347">
        <v>3129559.2668761211</v>
      </c>
      <c r="BT87" s="347">
        <v>7203328.6889003413</v>
      </c>
      <c r="BU87" s="347">
        <v>1373176.0819334555</v>
      </c>
      <c r="BV87" s="347">
        <v>139380.81098756945</v>
      </c>
      <c r="BW87" s="347">
        <v>85279.048827920778</v>
      </c>
      <c r="BX87" s="347">
        <v>1182834.1619285559</v>
      </c>
      <c r="BY87" s="347">
        <v>5367577.2964440929</v>
      </c>
      <c r="BZ87" s="347">
        <v>772497.13345916907</v>
      </c>
      <c r="CA87" s="347">
        <v>112534.40539654755</v>
      </c>
      <c r="CB87" s="347">
        <v>122397.97877791825</v>
      </c>
      <c r="CC87" s="347">
        <v>599750.09601179953</v>
      </c>
      <c r="CD87" s="347">
        <v>13494385.349090083</v>
      </c>
      <c r="CE87" s="347">
        <v>1633676.8313623611</v>
      </c>
      <c r="CF87" s="347">
        <v>293006.11296340264</v>
      </c>
      <c r="CG87" s="347">
        <v>380684.27806390176</v>
      </c>
      <c r="CH87" s="347">
        <v>1161798.3148423992</v>
      </c>
      <c r="CI87" s="347">
        <v>13632011.72313834</v>
      </c>
      <c r="CJ87" s="347">
        <v>2905152.9248407544</v>
      </c>
      <c r="CK87" s="347">
        <v>548563.64284781471</v>
      </c>
      <c r="CL87" s="347">
        <v>643410.88949149346</v>
      </c>
      <c r="CM87" s="347">
        <v>1436995.0661808844</v>
      </c>
      <c r="CN87" s="347">
        <v>8303425.6036832584</v>
      </c>
      <c r="CO87" s="347">
        <v>2426464.2561475602</v>
      </c>
      <c r="CP87" s="347">
        <v>413081.4172551005</v>
      </c>
      <c r="CQ87" s="347">
        <v>495341.97935649299</v>
      </c>
      <c r="CR87" s="347">
        <v>1175054.3342249929</v>
      </c>
      <c r="CS87" s="347">
        <v>15526132.14007826</v>
      </c>
      <c r="CT87" s="347">
        <v>2793468.6546486942</v>
      </c>
      <c r="CU87" s="347">
        <v>482782.78669174621</v>
      </c>
      <c r="CV87" s="347">
        <v>705917.68810389785</v>
      </c>
      <c r="CW87" s="347">
        <v>1462800.2892454886</v>
      </c>
      <c r="CX87" s="347">
        <v>9603890.0565333217</v>
      </c>
      <c r="CY87" s="347">
        <v>1883892.861253778</v>
      </c>
      <c r="CZ87" s="347">
        <v>175528.01669904243</v>
      </c>
      <c r="DA87" s="347">
        <v>365615.96105053998</v>
      </c>
      <c r="DB87" s="347">
        <v>905016.79190617579</v>
      </c>
      <c r="DC87" s="347">
        <v>32287655.724341702</v>
      </c>
      <c r="DD87" s="347">
        <v>12525313.571335135</v>
      </c>
      <c r="DE87" s="347">
        <v>1472537.6766819651</v>
      </c>
      <c r="DF87" s="347">
        <v>3837707.2783340802</v>
      </c>
      <c r="DG87" s="347">
        <v>7323607.7784031592</v>
      </c>
      <c r="DH87" s="347">
        <v>4790163.4415516136</v>
      </c>
      <c r="DI87" s="347">
        <v>1406152.8113803719</v>
      </c>
      <c r="DJ87" s="347">
        <v>206529.99539374135</v>
      </c>
      <c r="DK87" s="347">
        <v>589609.82555955183</v>
      </c>
      <c r="DL87" s="347">
        <v>542986.51188165415</v>
      </c>
      <c r="DM87" s="347">
        <v>14854176.738202687</v>
      </c>
      <c r="DN87" s="347">
        <v>4674525.8384612482</v>
      </c>
      <c r="DO87" s="347">
        <v>507900.20043996238</v>
      </c>
      <c r="DP87" s="347">
        <v>1809920.6037777665</v>
      </c>
      <c r="DQ87" s="347">
        <v>3203222.7392719905</v>
      </c>
      <c r="DR87" s="347">
        <v>4216050.4316696329</v>
      </c>
      <c r="DS87" s="347">
        <v>1285667.1202223464</v>
      </c>
      <c r="DT87" s="347">
        <v>47297.414851429887</v>
      </c>
      <c r="DU87" s="347">
        <v>192891.19622017926</v>
      </c>
      <c r="DV87" s="347">
        <v>276208.67709498509</v>
      </c>
      <c r="DW87" s="183"/>
    </row>
    <row r="88" spans="1:127" ht="30.75" customHeight="1" x14ac:dyDescent="0.3">
      <c r="B88" s="71"/>
      <c r="C88" s="45"/>
      <c r="D88" s="378"/>
      <c r="E88" s="72" t="s">
        <v>189</v>
      </c>
      <c r="F88" s="350">
        <f>SUMPRODUCT($G$87:$DV$87,G88:DV88)/$F$87</f>
        <v>0.99872769561957364</v>
      </c>
      <c r="G88" s="372">
        <v>0.99829999999999997</v>
      </c>
      <c r="H88" s="372">
        <v>0.99829999999999997</v>
      </c>
      <c r="I88" s="372">
        <v>0.99829999999999997</v>
      </c>
      <c r="J88" s="372">
        <v>0.99829999999999997</v>
      </c>
      <c r="K88" s="372">
        <v>0.99819999999999998</v>
      </c>
      <c r="L88" s="372">
        <v>0.99829999999999997</v>
      </c>
      <c r="M88" s="372">
        <v>0.99829999999999997</v>
      </c>
      <c r="N88" s="372">
        <v>0.99829999999999997</v>
      </c>
      <c r="O88" s="372">
        <v>0.99829999999999997</v>
      </c>
      <c r="P88" s="372">
        <v>0.99809999999999999</v>
      </c>
      <c r="Q88" s="372">
        <v>0.99819999999999998</v>
      </c>
      <c r="R88" s="372">
        <v>0.99819999999999998</v>
      </c>
      <c r="S88" s="372">
        <v>0.99819999999999998</v>
      </c>
      <c r="T88" s="372">
        <v>0.99819999999999998</v>
      </c>
      <c r="U88" s="372">
        <v>0.998</v>
      </c>
      <c r="V88" s="372">
        <v>0.99809999999999999</v>
      </c>
      <c r="W88" s="372">
        <v>0.99809999999999999</v>
      </c>
      <c r="X88" s="372">
        <v>0.99809999999999999</v>
      </c>
      <c r="Y88" s="372">
        <v>0.99809999999999999</v>
      </c>
      <c r="Z88" s="372">
        <v>0.99790000000000001</v>
      </c>
      <c r="AA88" s="372">
        <v>0.99809999999999999</v>
      </c>
      <c r="AB88" s="372">
        <v>0.99809999999999999</v>
      </c>
      <c r="AC88" s="372">
        <v>0.99809999999999999</v>
      </c>
      <c r="AD88" s="372">
        <v>0.99809999999999999</v>
      </c>
      <c r="AE88" s="372">
        <v>0.99790000000000001</v>
      </c>
      <c r="AF88" s="372">
        <v>0.998</v>
      </c>
      <c r="AG88" s="372">
        <v>0.998</v>
      </c>
      <c r="AH88" s="372">
        <v>0.998</v>
      </c>
      <c r="AI88" s="372">
        <v>0.998</v>
      </c>
      <c r="AJ88" s="372">
        <v>0.99780000000000002</v>
      </c>
      <c r="AK88" s="372">
        <v>0.99790000000000001</v>
      </c>
      <c r="AL88" s="372">
        <v>0.99790000000000001</v>
      </c>
      <c r="AM88" s="372">
        <v>0.99790000000000001</v>
      </c>
      <c r="AN88" s="372">
        <v>0.99790000000000001</v>
      </c>
      <c r="AO88" s="372">
        <v>0.99770000000000003</v>
      </c>
      <c r="AP88" s="372">
        <v>0.99760000000000004</v>
      </c>
      <c r="AQ88" s="372">
        <v>0.99760000000000004</v>
      </c>
      <c r="AR88" s="372">
        <v>0.99760000000000004</v>
      </c>
      <c r="AS88" s="372">
        <v>0.99760000000000004</v>
      </c>
      <c r="AT88" s="372">
        <v>0.99729999999999996</v>
      </c>
      <c r="AU88" s="372">
        <v>0.99760000000000004</v>
      </c>
      <c r="AV88" s="372">
        <v>0.99760000000000004</v>
      </c>
      <c r="AW88" s="372">
        <v>0.99760000000000004</v>
      </c>
      <c r="AX88" s="372">
        <v>0.99760000000000004</v>
      </c>
      <c r="AY88" s="372">
        <v>0.99739999999999995</v>
      </c>
      <c r="AZ88" s="372">
        <v>0.99780000000000002</v>
      </c>
      <c r="BA88" s="372">
        <v>0.99780000000000002</v>
      </c>
      <c r="BB88" s="372">
        <v>0.99780000000000002</v>
      </c>
      <c r="BC88" s="372">
        <v>0.99780000000000002</v>
      </c>
      <c r="BD88" s="372">
        <v>0.99760000000000004</v>
      </c>
      <c r="BE88" s="372">
        <v>0.99750000000000005</v>
      </c>
      <c r="BF88" s="372">
        <v>0.99750000000000005</v>
      </c>
      <c r="BG88" s="372">
        <v>0.99750000000000005</v>
      </c>
      <c r="BH88" s="372">
        <v>0.99750000000000005</v>
      </c>
      <c r="BI88" s="372">
        <v>0.99729999999999996</v>
      </c>
      <c r="BJ88" s="372">
        <v>0.99739999999999995</v>
      </c>
      <c r="BK88" s="372">
        <v>0.99739999999999995</v>
      </c>
      <c r="BL88" s="372">
        <v>0.99739999999999995</v>
      </c>
      <c r="BM88" s="372">
        <v>0.99739999999999995</v>
      </c>
      <c r="BN88" s="372">
        <v>0.99709999999999999</v>
      </c>
      <c r="BO88" s="372">
        <v>1</v>
      </c>
      <c r="BP88" s="372">
        <v>1</v>
      </c>
      <c r="BQ88" s="372">
        <v>1</v>
      </c>
      <c r="BR88" s="372">
        <v>1</v>
      </c>
      <c r="BS88" s="372">
        <v>1</v>
      </c>
      <c r="BT88" s="372">
        <v>1</v>
      </c>
      <c r="BU88" s="372">
        <v>1</v>
      </c>
      <c r="BV88" s="372">
        <v>1</v>
      </c>
      <c r="BW88" s="372">
        <v>1</v>
      </c>
      <c r="BX88" s="372">
        <v>1</v>
      </c>
      <c r="BY88" s="372">
        <v>1</v>
      </c>
      <c r="BZ88" s="372">
        <v>1</v>
      </c>
      <c r="CA88" s="372">
        <v>1</v>
      </c>
      <c r="CB88" s="372">
        <v>1</v>
      </c>
      <c r="CC88" s="372">
        <v>1</v>
      </c>
      <c r="CD88" s="372">
        <v>1</v>
      </c>
      <c r="CE88" s="372">
        <v>1</v>
      </c>
      <c r="CF88" s="372">
        <v>1</v>
      </c>
      <c r="CG88" s="372">
        <v>1</v>
      </c>
      <c r="CH88" s="372">
        <v>1</v>
      </c>
      <c r="CI88" s="372">
        <v>1</v>
      </c>
      <c r="CJ88" s="372">
        <v>1</v>
      </c>
      <c r="CK88" s="372">
        <v>1</v>
      </c>
      <c r="CL88" s="372">
        <v>1</v>
      </c>
      <c r="CM88" s="372">
        <v>1</v>
      </c>
      <c r="CN88" s="372">
        <v>1</v>
      </c>
      <c r="CO88" s="372">
        <v>1</v>
      </c>
      <c r="CP88" s="372">
        <v>1</v>
      </c>
      <c r="CQ88" s="372">
        <v>1</v>
      </c>
      <c r="CR88" s="372">
        <v>1</v>
      </c>
      <c r="CS88" s="372">
        <v>1</v>
      </c>
      <c r="CT88" s="372">
        <v>1</v>
      </c>
      <c r="CU88" s="372">
        <v>1</v>
      </c>
      <c r="CV88" s="372">
        <v>1</v>
      </c>
      <c r="CW88" s="372">
        <v>1</v>
      </c>
      <c r="CX88" s="372">
        <v>1</v>
      </c>
      <c r="CY88" s="372">
        <v>1</v>
      </c>
      <c r="CZ88" s="372">
        <v>1</v>
      </c>
      <c r="DA88" s="372">
        <v>1</v>
      </c>
      <c r="DB88" s="372">
        <v>1</v>
      </c>
      <c r="DC88" s="372">
        <v>1</v>
      </c>
      <c r="DD88" s="372">
        <v>1</v>
      </c>
      <c r="DE88" s="372">
        <v>1</v>
      </c>
      <c r="DF88" s="372">
        <v>1</v>
      </c>
      <c r="DG88" s="372">
        <v>1</v>
      </c>
      <c r="DH88" s="372">
        <v>1</v>
      </c>
      <c r="DI88" s="372">
        <v>1</v>
      </c>
      <c r="DJ88" s="372">
        <v>1</v>
      </c>
      <c r="DK88" s="372">
        <v>1</v>
      </c>
      <c r="DL88" s="372">
        <v>1</v>
      </c>
      <c r="DM88" s="372">
        <v>1</v>
      </c>
      <c r="DN88" s="372">
        <v>1</v>
      </c>
      <c r="DO88" s="372">
        <v>1</v>
      </c>
      <c r="DP88" s="372">
        <v>1</v>
      </c>
      <c r="DQ88" s="372">
        <v>1</v>
      </c>
      <c r="DR88" s="372">
        <v>1</v>
      </c>
      <c r="DS88" s="372">
        <v>1</v>
      </c>
      <c r="DT88" s="372">
        <v>1</v>
      </c>
      <c r="DU88" s="372">
        <v>1</v>
      </c>
      <c r="DV88" s="372">
        <v>1</v>
      </c>
      <c r="DW88" s="183"/>
    </row>
    <row r="89" spans="1:127" ht="30.75" customHeight="1" x14ac:dyDescent="0.3">
      <c r="B89" s="71"/>
      <c r="C89" s="45"/>
      <c r="D89" s="378"/>
      <c r="E89" s="72" t="s">
        <v>69</v>
      </c>
      <c r="F89" s="350">
        <f>SUMPRODUCT($G$87:$DV$87,G89:DV89)/$F$87</f>
        <v>0</v>
      </c>
      <c r="G89" s="372">
        <v>0</v>
      </c>
      <c r="H89" s="372">
        <v>0</v>
      </c>
      <c r="I89" s="372">
        <v>0</v>
      </c>
      <c r="J89" s="372">
        <v>0</v>
      </c>
      <c r="K89" s="372">
        <v>0</v>
      </c>
      <c r="L89" s="372">
        <v>0</v>
      </c>
      <c r="M89" s="372">
        <v>0</v>
      </c>
      <c r="N89" s="372">
        <v>0</v>
      </c>
      <c r="O89" s="372">
        <v>0</v>
      </c>
      <c r="P89" s="372">
        <v>0</v>
      </c>
      <c r="Q89" s="372">
        <v>0</v>
      </c>
      <c r="R89" s="372">
        <v>0</v>
      </c>
      <c r="S89" s="372">
        <v>0</v>
      </c>
      <c r="T89" s="372">
        <v>0</v>
      </c>
      <c r="U89" s="372">
        <v>0</v>
      </c>
      <c r="V89" s="372">
        <v>0</v>
      </c>
      <c r="W89" s="372">
        <v>0</v>
      </c>
      <c r="X89" s="372">
        <v>0</v>
      </c>
      <c r="Y89" s="372">
        <v>0</v>
      </c>
      <c r="Z89" s="372">
        <v>0</v>
      </c>
      <c r="AA89" s="372">
        <v>0</v>
      </c>
      <c r="AB89" s="372">
        <v>0</v>
      </c>
      <c r="AC89" s="372">
        <v>0</v>
      </c>
      <c r="AD89" s="372">
        <v>0</v>
      </c>
      <c r="AE89" s="372">
        <v>0</v>
      </c>
      <c r="AF89" s="372">
        <v>0</v>
      </c>
      <c r="AG89" s="372">
        <v>0</v>
      </c>
      <c r="AH89" s="372">
        <v>0</v>
      </c>
      <c r="AI89" s="372">
        <v>0</v>
      </c>
      <c r="AJ89" s="372">
        <v>0</v>
      </c>
      <c r="AK89" s="372">
        <v>0</v>
      </c>
      <c r="AL89" s="372">
        <v>0</v>
      </c>
      <c r="AM89" s="372">
        <v>0</v>
      </c>
      <c r="AN89" s="372">
        <v>0</v>
      </c>
      <c r="AO89" s="372">
        <v>0</v>
      </c>
      <c r="AP89" s="372">
        <v>0</v>
      </c>
      <c r="AQ89" s="372">
        <v>0</v>
      </c>
      <c r="AR89" s="372">
        <v>0</v>
      </c>
      <c r="AS89" s="372">
        <v>0</v>
      </c>
      <c r="AT89" s="372">
        <v>0</v>
      </c>
      <c r="AU89" s="372">
        <v>0</v>
      </c>
      <c r="AV89" s="372">
        <v>0</v>
      </c>
      <c r="AW89" s="372">
        <v>0</v>
      </c>
      <c r="AX89" s="372">
        <v>0</v>
      </c>
      <c r="AY89" s="372">
        <v>0</v>
      </c>
      <c r="AZ89" s="372">
        <v>0</v>
      </c>
      <c r="BA89" s="372">
        <v>0</v>
      </c>
      <c r="BB89" s="372">
        <v>0</v>
      </c>
      <c r="BC89" s="372">
        <v>0</v>
      </c>
      <c r="BD89" s="372">
        <v>0</v>
      </c>
      <c r="BE89" s="372">
        <v>0</v>
      </c>
      <c r="BF89" s="372">
        <v>0</v>
      </c>
      <c r="BG89" s="372">
        <v>0</v>
      </c>
      <c r="BH89" s="372">
        <v>0</v>
      </c>
      <c r="BI89" s="372">
        <v>0</v>
      </c>
      <c r="BJ89" s="372">
        <v>0</v>
      </c>
      <c r="BK89" s="372">
        <v>0</v>
      </c>
      <c r="BL89" s="372">
        <v>0</v>
      </c>
      <c r="BM89" s="372">
        <v>0</v>
      </c>
      <c r="BN89" s="372">
        <v>0</v>
      </c>
      <c r="BO89" s="372">
        <v>0</v>
      </c>
      <c r="BP89" s="372">
        <v>0</v>
      </c>
      <c r="BQ89" s="372">
        <v>0</v>
      </c>
      <c r="BR89" s="372">
        <v>0</v>
      </c>
      <c r="BS89" s="372">
        <v>0</v>
      </c>
      <c r="BT89" s="372">
        <v>0</v>
      </c>
      <c r="BU89" s="372">
        <v>0</v>
      </c>
      <c r="BV89" s="372">
        <v>0</v>
      </c>
      <c r="BW89" s="372">
        <v>0</v>
      </c>
      <c r="BX89" s="372">
        <v>0</v>
      </c>
      <c r="BY89" s="372">
        <v>0</v>
      </c>
      <c r="BZ89" s="372">
        <v>0</v>
      </c>
      <c r="CA89" s="372">
        <v>0</v>
      </c>
      <c r="CB89" s="372">
        <v>0</v>
      </c>
      <c r="CC89" s="372">
        <v>0</v>
      </c>
      <c r="CD89" s="372">
        <v>0</v>
      </c>
      <c r="CE89" s="372">
        <v>0</v>
      </c>
      <c r="CF89" s="372">
        <v>0</v>
      </c>
      <c r="CG89" s="372">
        <v>0</v>
      </c>
      <c r="CH89" s="372">
        <v>0</v>
      </c>
      <c r="CI89" s="372">
        <v>0</v>
      </c>
      <c r="CJ89" s="372">
        <v>0</v>
      </c>
      <c r="CK89" s="372">
        <v>0</v>
      </c>
      <c r="CL89" s="372">
        <v>0</v>
      </c>
      <c r="CM89" s="372">
        <v>0</v>
      </c>
      <c r="CN89" s="372">
        <v>0</v>
      </c>
      <c r="CO89" s="372">
        <v>0</v>
      </c>
      <c r="CP89" s="372">
        <v>0</v>
      </c>
      <c r="CQ89" s="372">
        <v>0</v>
      </c>
      <c r="CR89" s="372">
        <v>0</v>
      </c>
      <c r="CS89" s="372">
        <v>0</v>
      </c>
      <c r="CT89" s="372">
        <v>0</v>
      </c>
      <c r="CU89" s="372">
        <v>0</v>
      </c>
      <c r="CV89" s="372">
        <v>0</v>
      </c>
      <c r="CW89" s="372">
        <v>0</v>
      </c>
      <c r="CX89" s="372">
        <v>0</v>
      </c>
      <c r="CY89" s="372">
        <v>0</v>
      </c>
      <c r="CZ89" s="372">
        <v>0</v>
      </c>
      <c r="DA89" s="372">
        <v>0</v>
      </c>
      <c r="DB89" s="372">
        <v>0</v>
      </c>
      <c r="DC89" s="372">
        <v>0</v>
      </c>
      <c r="DD89" s="372">
        <v>0</v>
      </c>
      <c r="DE89" s="372">
        <v>0</v>
      </c>
      <c r="DF89" s="372">
        <v>0</v>
      </c>
      <c r="DG89" s="372">
        <v>0</v>
      </c>
      <c r="DH89" s="372">
        <v>0</v>
      </c>
      <c r="DI89" s="372">
        <v>0</v>
      </c>
      <c r="DJ89" s="372">
        <v>0</v>
      </c>
      <c r="DK89" s="372">
        <v>0</v>
      </c>
      <c r="DL89" s="372">
        <v>0</v>
      </c>
      <c r="DM89" s="372">
        <v>0</v>
      </c>
      <c r="DN89" s="372">
        <v>0</v>
      </c>
      <c r="DO89" s="372">
        <v>0</v>
      </c>
      <c r="DP89" s="372">
        <v>0</v>
      </c>
      <c r="DQ89" s="372">
        <v>0</v>
      </c>
      <c r="DR89" s="372">
        <v>0</v>
      </c>
      <c r="DS89" s="372">
        <v>0</v>
      </c>
      <c r="DT89" s="372">
        <v>0</v>
      </c>
      <c r="DU89" s="372">
        <v>0</v>
      </c>
      <c r="DV89" s="372">
        <v>0</v>
      </c>
      <c r="DW89" s="183"/>
    </row>
    <row r="90" spans="1:127" ht="17.25" customHeight="1" x14ac:dyDescent="0.3">
      <c r="B90" s="71"/>
      <c r="C90" s="45"/>
      <c r="D90" s="378"/>
      <c r="E90" s="72" t="s">
        <v>70</v>
      </c>
      <c r="F90" s="350">
        <f>1-F88-F89</f>
        <v>1.272304380426359E-3</v>
      </c>
      <c r="G90" s="270">
        <f t="shared" ref="G90:AL90" si="57">1-G89-G88</f>
        <v>1.7000000000000348E-3</v>
      </c>
      <c r="H90" s="270">
        <f t="shared" si="57"/>
        <v>1.7000000000000348E-3</v>
      </c>
      <c r="I90" s="270">
        <f t="shared" si="57"/>
        <v>1.7000000000000348E-3</v>
      </c>
      <c r="J90" s="270">
        <f t="shared" si="57"/>
        <v>1.7000000000000348E-3</v>
      </c>
      <c r="K90" s="270">
        <f t="shared" si="57"/>
        <v>1.8000000000000238E-3</v>
      </c>
      <c r="L90" s="270">
        <f t="shared" si="57"/>
        <v>1.7000000000000348E-3</v>
      </c>
      <c r="M90" s="270">
        <f t="shared" si="57"/>
        <v>1.7000000000000348E-3</v>
      </c>
      <c r="N90" s="270">
        <f t="shared" si="57"/>
        <v>1.7000000000000348E-3</v>
      </c>
      <c r="O90" s="270">
        <f t="shared" si="57"/>
        <v>1.7000000000000348E-3</v>
      </c>
      <c r="P90" s="270">
        <f t="shared" si="57"/>
        <v>1.9000000000000128E-3</v>
      </c>
      <c r="Q90" s="270">
        <f t="shared" si="57"/>
        <v>1.8000000000000238E-3</v>
      </c>
      <c r="R90" s="270">
        <f t="shared" si="57"/>
        <v>1.8000000000000238E-3</v>
      </c>
      <c r="S90" s="270">
        <f t="shared" si="57"/>
        <v>1.8000000000000238E-3</v>
      </c>
      <c r="T90" s="270">
        <f t="shared" si="57"/>
        <v>1.8000000000000238E-3</v>
      </c>
      <c r="U90" s="270">
        <f t="shared" si="57"/>
        <v>2.0000000000000018E-3</v>
      </c>
      <c r="V90" s="270">
        <f t="shared" si="57"/>
        <v>1.9000000000000128E-3</v>
      </c>
      <c r="W90" s="270">
        <f t="shared" si="57"/>
        <v>1.9000000000000128E-3</v>
      </c>
      <c r="X90" s="270">
        <f t="shared" si="57"/>
        <v>1.9000000000000128E-3</v>
      </c>
      <c r="Y90" s="270">
        <f t="shared" si="57"/>
        <v>1.9000000000000128E-3</v>
      </c>
      <c r="Z90" s="270">
        <f t="shared" si="57"/>
        <v>2.0999999999999908E-3</v>
      </c>
      <c r="AA90" s="270">
        <f t="shared" si="57"/>
        <v>1.9000000000000128E-3</v>
      </c>
      <c r="AB90" s="270">
        <f t="shared" si="57"/>
        <v>1.9000000000000128E-3</v>
      </c>
      <c r="AC90" s="270">
        <f t="shared" si="57"/>
        <v>1.9000000000000128E-3</v>
      </c>
      <c r="AD90" s="270">
        <f t="shared" si="57"/>
        <v>1.9000000000000128E-3</v>
      </c>
      <c r="AE90" s="270">
        <f t="shared" si="57"/>
        <v>2.0999999999999908E-3</v>
      </c>
      <c r="AF90" s="270">
        <f t="shared" si="57"/>
        <v>2.0000000000000018E-3</v>
      </c>
      <c r="AG90" s="270">
        <f t="shared" si="57"/>
        <v>2.0000000000000018E-3</v>
      </c>
      <c r="AH90" s="270">
        <f t="shared" si="57"/>
        <v>2.0000000000000018E-3</v>
      </c>
      <c r="AI90" s="270">
        <f t="shared" si="57"/>
        <v>2.0000000000000018E-3</v>
      </c>
      <c r="AJ90" s="270">
        <f t="shared" si="57"/>
        <v>2.1999999999999797E-3</v>
      </c>
      <c r="AK90" s="270">
        <f t="shared" si="57"/>
        <v>2.0999999999999908E-3</v>
      </c>
      <c r="AL90" s="270">
        <f t="shared" si="57"/>
        <v>2.0999999999999908E-3</v>
      </c>
      <c r="AM90" s="270">
        <f t="shared" ref="AM90:BR90" si="58">1-AM89-AM88</f>
        <v>2.0999999999999908E-3</v>
      </c>
      <c r="AN90" s="270">
        <f t="shared" si="58"/>
        <v>2.0999999999999908E-3</v>
      </c>
      <c r="AO90" s="270">
        <f t="shared" si="58"/>
        <v>2.2999999999999687E-3</v>
      </c>
      <c r="AP90" s="270">
        <f t="shared" si="58"/>
        <v>2.3999999999999577E-3</v>
      </c>
      <c r="AQ90" s="270">
        <f t="shared" si="58"/>
        <v>2.3999999999999577E-3</v>
      </c>
      <c r="AR90" s="270">
        <f t="shared" si="58"/>
        <v>2.3999999999999577E-3</v>
      </c>
      <c r="AS90" s="270">
        <f t="shared" si="58"/>
        <v>2.3999999999999577E-3</v>
      </c>
      <c r="AT90" s="270">
        <f t="shared" si="58"/>
        <v>2.7000000000000357E-3</v>
      </c>
      <c r="AU90" s="270">
        <f t="shared" si="58"/>
        <v>2.3999999999999577E-3</v>
      </c>
      <c r="AV90" s="270">
        <f t="shared" si="58"/>
        <v>2.3999999999999577E-3</v>
      </c>
      <c r="AW90" s="270">
        <f t="shared" si="58"/>
        <v>2.3999999999999577E-3</v>
      </c>
      <c r="AX90" s="270">
        <f t="shared" si="58"/>
        <v>2.3999999999999577E-3</v>
      </c>
      <c r="AY90" s="270">
        <f t="shared" si="58"/>
        <v>2.6000000000000467E-3</v>
      </c>
      <c r="AZ90" s="270">
        <f t="shared" si="58"/>
        <v>2.1999999999999797E-3</v>
      </c>
      <c r="BA90" s="270">
        <f t="shared" si="58"/>
        <v>2.1999999999999797E-3</v>
      </c>
      <c r="BB90" s="270">
        <f t="shared" si="58"/>
        <v>2.1999999999999797E-3</v>
      </c>
      <c r="BC90" s="270">
        <f t="shared" si="58"/>
        <v>2.1999999999999797E-3</v>
      </c>
      <c r="BD90" s="270">
        <f t="shared" si="58"/>
        <v>2.3999999999999577E-3</v>
      </c>
      <c r="BE90" s="270">
        <f t="shared" si="58"/>
        <v>2.4999999999999467E-3</v>
      </c>
      <c r="BF90" s="270">
        <f t="shared" si="58"/>
        <v>2.4999999999999467E-3</v>
      </c>
      <c r="BG90" s="270">
        <f t="shared" si="58"/>
        <v>2.4999999999999467E-3</v>
      </c>
      <c r="BH90" s="270">
        <f t="shared" si="58"/>
        <v>2.4999999999999467E-3</v>
      </c>
      <c r="BI90" s="270">
        <f t="shared" si="58"/>
        <v>2.7000000000000357E-3</v>
      </c>
      <c r="BJ90" s="270">
        <f t="shared" si="58"/>
        <v>2.6000000000000467E-3</v>
      </c>
      <c r="BK90" s="270">
        <f t="shared" si="58"/>
        <v>2.6000000000000467E-3</v>
      </c>
      <c r="BL90" s="270">
        <f t="shared" si="58"/>
        <v>2.6000000000000467E-3</v>
      </c>
      <c r="BM90" s="270">
        <f t="shared" si="58"/>
        <v>2.6000000000000467E-3</v>
      </c>
      <c r="BN90" s="270">
        <f t="shared" si="58"/>
        <v>2.9000000000000137E-3</v>
      </c>
      <c r="BO90" s="270">
        <f t="shared" si="58"/>
        <v>0</v>
      </c>
      <c r="BP90" s="270">
        <f t="shared" si="58"/>
        <v>0</v>
      </c>
      <c r="BQ90" s="270">
        <f t="shared" si="58"/>
        <v>0</v>
      </c>
      <c r="BR90" s="270">
        <f t="shared" si="58"/>
        <v>0</v>
      </c>
      <c r="BS90" s="270">
        <f t="shared" ref="BS90:CX90" si="59">1-BS89-BS88</f>
        <v>0</v>
      </c>
      <c r="BT90" s="270">
        <f t="shared" si="59"/>
        <v>0</v>
      </c>
      <c r="BU90" s="270">
        <f t="shared" si="59"/>
        <v>0</v>
      </c>
      <c r="BV90" s="270">
        <f t="shared" si="59"/>
        <v>0</v>
      </c>
      <c r="BW90" s="270">
        <f t="shared" si="59"/>
        <v>0</v>
      </c>
      <c r="BX90" s="270">
        <f t="shared" si="59"/>
        <v>0</v>
      </c>
      <c r="BY90" s="270">
        <f t="shared" si="59"/>
        <v>0</v>
      </c>
      <c r="BZ90" s="270">
        <f t="shared" si="59"/>
        <v>0</v>
      </c>
      <c r="CA90" s="270">
        <f t="shared" si="59"/>
        <v>0</v>
      </c>
      <c r="CB90" s="270">
        <f t="shared" si="59"/>
        <v>0</v>
      </c>
      <c r="CC90" s="270">
        <f t="shared" si="59"/>
        <v>0</v>
      </c>
      <c r="CD90" s="270">
        <f t="shared" si="59"/>
        <v>0</v>
      </c>
      <c r="CE90" s="270">
        <f t="shared" si="59"/>
        <v>0</v>
      </c>
      <c r="CF90" s="270">
        <f t="shared" si="59"/>
        <v>0</v>
      </c>
      <c r="CG90" s="270">
        <f t="shared" si="59"/>
        <v>0</v>
      </c>
      <c r="CH90" s="270">
        <f t="shared" si="59"/>
        <v>0</v>
      </c>
      <c r="CI90" s="270">
        <f t="shared" si="59"/>
        <v>0</v>
      </c>
      <c r="CJ90" s="270">
        <f t="shared" si="59"/>
        <v>0</v>
      </c>
      <c r="CK90" s="270">
        <f t="shared" si="59"/>
        <v>0</v>
      </c>
      <c r="CL90" s="270">
        <f t="shared" si="59"/>
        <v>0</v>
      </c>
      <c r="CM90" s="270">
        <f t="shared" si="59"/>
        <v>0</v>
      </c>
      <c r="CN90" s="270">
        <f t="shared" si="59"/>
        <v>0</v>
      </c>
      <c r="CO90" s="270">
        <f t="shared" si="59"/>
        <v>0</v>
      </c>
      <c r="CP90" s="270">
        <f t="shared" si="59"/>
        <v>0</v>
      </c>
      <c r="CQ90" s="270">
        <f t="shared" si="59"/>
        <v>0</v>
      </c>
      <c r="CR90" s="270">
        <f t="shared" si="59"/>
        <v>0</v>
      </c>
      <c r="CS90" s="270">
        <f t="shared" si="59"/>
        <v>0</v>
      </c>
      <c r="CT90" s="270">
        <f t="shared" si="59"/>
        <v>0</v>
      </c>
      <c r="CU90" s="270">
        <f t="shared" si="59"/>
        <v>0</v>
      </c>
      <c r="CV90" s="270">
        <f t="shared" si="59"/>
        <v>0</v>
      </c>
      <c r="CW90" s="270">
        <f t="shared" si="59"/>
        <v>0</v>
      </c>
      <c r="CX90" s="270">
        <f t="shared" si="59"/>
        <v>0</v>
      </c>
      <c r="CY90" s="270">
        <f t="shared" ref="CY90:DV90" si="60">1-CY89-CY88</f>
        <v>0</v>
      </c>
      <c r="CZ90" s="270">
        <f t="shared" si="60"/>
        <v>0</v>
      </c>
      <c r="DA90" s="270">
        <f t="shared" si="60"/>
        <v>0</v>
      </c>
      <c r="DB90" s="270">
        <f t="shared" si="60"/>
        <v>0</v>
      </c>
      <c r="DC90" s="270">
        <f t="shared" si="60"/>
        <v>0</v>
      </c>
      <c r="DD90" s="270">
        <f t="shared" si="60"/>
        <v>0</v>
      </c>
      <c r="DE90" s="270">
        <f t="shared" si="60"/>
        <v>0</v>
      </c>
      <c r="DF90" s="270">
        <f t="shared" si="60"/>
        <v>0</v>
      </c>
      <c r="DG90" s="270">
        <f t="shared" si="60"/>
        <v>0</v>
      </c>
      <c r="DH90" s="270">
        <f t="shared" si="60"/>
        <v>0</v>
      </c>
      <c r="DI90" s="270">
        <f t="shared" si="60"/>
        <v>0</v>
      </c>
      <c r="DJ90" s="270">
        <f t="shared" si="60"/>
        <v>0</v>
      </c>
      <c r="DK90" s="270">
        <f t="shared" si="60"/>
        <v>0</v>
      </c>
      <c r="DL90" s="270">
        <f t="shared" si="60"/>
        <v>0</v>
      </c>
      <c r="DM90" s="270">
        <f t="shared" si="60"/>
        <v>0</v>
      </c>
      <c r="DN90" s="270">
        <f t="shared" si="60"/>
        <v>0</v>
      </c>
      <c r="DO90" s="270">
        <f t="shared" si="60"/>
        <v>0</v>
      </c>
      <c r="DP90" s="270">
        <f t="shared" si="60"/>
        <v>0</v>
      </c>
      <c r="DQ90" s="270">
        <f t="shared" si="60"/>
        <v>0</v>
      </c>
      <c r="DR90" s="270">
        <f t="shared" si="60"/>
        <v>0</v>
      </c>
      <c r="DS90" s="270">
        <f t="shared" si="60"/>
        <v>0</v>
      </c>
      <c r="DT90" s="270">
        <f t="shared" si="60"/>
        <v>0</v>
      </c>
      <c r="DU90" s="270">
        <f t="shared" si="60"/>
        <v>0</v>
      </c>
      <c r="DV90" s="270">
        <f t="shared" si="60"/>
        <v>0</v>
      </c>
      <c r="DW90" s="183"/>
    </row>
    <row r="91" spans="1:127" ht="30" customHeight="1" x14ac:dyDescent="0.3">
      <c r="B91" s="71"/>
      <c r="C91" s="45"/>
      <c r="D91" s="378"/>
      <c r="E91" s="74" t="s">
        <v>101</v>
      </c>
      <c r="F91" s="346">
        <f>SUM(G91:DV91)</f>
        <v>71274949.116640911</v>
      </c>
      <c r="G91" s="347">
        <v>6920973.8905578246</v>
      </c>
      <c r="H91" s="347">
        <v>792785.15180190618</v>
      </c>
      <c r="I91" s="347">
        <v>126216.92113397723</v>
      </c>
      <c r="J91" s="347">
        <v>114309.66442322466</v>
      </c>
      <c r="K91" s="347">
        <v>950065.72424289479</v>
      </c>
      <c r="L91" s="347">
        <v>2741285.8910342581</v>
      </c>
      <c r="M91" s="347">
        <v>484663.72442682297</v>
      </c>
      <c r="N91" s="347">
        <v>102754.68079480383</v>
      </c>
      <c r="O91" s="347">
        <v>84841.031842683093</v>
      </c>
      <c r="P91" s="347">
        <v>431987.64448039228</v>
      </c>
      <c r="Q91" s="347">
        <v>1691111.6203657477</v>
      </c>
      <c r="R91" s="347">
        <v>260403.48703770415</v>
      </c>
      <c r="S91" s="347">
        <v>56916.042621393754</v>
      </c>
      <c r="T91" s="347">
        <v>58930.769793832464</v>
      </c>
      <c r="U91" s="347">
        <v>205340.99341495405</v>
      </c>
      <c r="V91" s="347">
        <v>2495407.439086983</v>
      </c>
      <c r="W91" s="347">
        <v>401850.52228540386</v>
      </c>
      <c r="X91" s="347">
        <v>83583.755755974184</v>
      </c>
      <c r="Y91" s="347">
        <v>116080.54355420219</v>
      </c>
      <c r="Z91" s="347">
        <v>253034.68900922177</v>
      </c>
      <c r="AA91" s="347">
        <v>4796024.4610754875</v>
      </c>
      <c r="AB91" s="347">
        <v>852219.57344944053</v>
      </c>
      <c r="AC91" s="347">
        <v>181498.84429707343</v>
      </c>
      <c r="AD91" s="347">
        <v>147839.05862743451</v>
      </c>
      <c r="AE91" s="347">
        <v>533930.00017414382</v>
      </c>
      <c r="AF91" s="347">
        <v>3326271.3825664972</v>
      </c>
      <c r="AG91" s="347">
        <v>715131.5130832342</v>
      </c>
      <c r="AH91" s="347">
        <v>114151.69539631494</v>
      </c>
      <c r="AI91" s="347">
        <v>171468.03121679599</v>
      </c>
      <c r="AJ91" s="347">
        <v>549955.45277349988</v>
      </c>
      <c r="AK91" s="347">
        <v>11900313.273281669</v>
      </c>
      <c r="AL91" s="347">
        <v>2085684.5009623412</v>
      </c>
      <c r="AM91" s="347">
        <v>409265.60266800941</v>
      </c>
      <c r="AN91" s="347">
        <v>500643.83057828352</v>
      </c>
      <c r="AO91" s="347">
        <v>1326847.4575704567</v>
      </c>
      <c r="AP91" s="347">
        <v>-924535.201249326</v>
      </c>
      <c r="AQ91" s="347">
        <v>-157191.38644904515</v>
      </c>
      <c r="AR91" s="347">
        <v>-28782.847718405428</v>
      </c>
      <c r="AS91" s="347">
        <v>-39392.010781460049</v>
      </c>
      <c r="AT91" s="347">
        <v>-124963.69954078727</v>
      </c>
      <c r="AU91" s="347">
        <v>-4208631.8360858131</v>
      </c>
      <c r="AV91" s="347">
        <v>-1178251.7000306444</v>
      </c>
      <c r="AW91" s="347">
        <v>-143185.53026780416</v>
      </c>
      <c r="AX91" s="347">
        <v>-335620.5890782706</v>
      </c>
      <c r="AY91" s="347">
        <v>-820596.27396478644</v>
      </c>
      <c r="AZ91" s="347">
        <v>-668395.70377005078</v>
      </c>
      <c r="BA91" s="347">
        <v>-174647.68704549337</v>
      </c>
      <c r="BB91" s="347">
        <v>-28058.337358564404</v>
      </c>
      <c r="BC91" s="347">
        <v>-44645.931588577492</v>
      </c>
      <c r="BD91" s="347">
        <v>-128228.28860262889</v>
      </c>
      <c r="BE91" s="347">
        <v>-2192372.2721999958</v>
      </c>
      <c r="BF91" s="347">
        <v>-391577.36656236666</v>
      </c>
      <c r="BG91" s="347">
        <v>-60081.131586351381</v>
      </c>
      <c r="BH91" s="347">
        <v>-144261.30188658045</v>
      </c>
      <c r="BI91" s="347">
        <v>-339951.89875089447</v>
      </c>
      <c r="BJ91" s="347">
        <v>732818.01016156748</v>
      </c>
      <c r="BK91" s="347">
        <v>193903.26677143283</v>
      </c>
      <c r="BL91" s="347">
        <v>126.23910597098489</v>
      </c>
      <c r="BM91" s="347">
        <v>20324.496061328569</v>
      </c>
      <c r="BN91" s="347">
        <v>41241.053529661069</v>
      </c>
      <c r="BO91" s="347">
        <v>17181933.288481742</v>
      </c>
      <c r="BP91" s="347">
        <v>1534130.9546133608</v>
      </c>
      <c r="BQ91" s="347">
        <v>194088.28438526686</v>
      </c>
      <c r="BR91" s="347">
        <v>497247.04024102731</v>
      </c>
      <c r="BS91" s="347">
        <v>1644844.6275099393</v>
      </c>
      <c r="BT91" s="347">
        <v>3908907.4817606858</v>
      </c>
      <c r="BU91" s="347">
        <v>745158.03627224569</v>
      </c>
      <c r="BV91" s="347">
        <v>75635.406686732123</v>
      </c>
      <c r="BW91" s="347">
        <v>46276.926459645314</v>
      </c>
      <c r="BX91" s="347">
        <v>641868.43401567719</v>
      </c>
      <c r="BY91" s="347">
        <v>3015039.2135545402</v>
      </c>
      <c r="BZ91" s="347">
        <v>433921.86476398865</v>
      </c>
      <c r="CA91" s="347">
        <v>63212.065035264743</v>
      </c>
      <c r="CB91" s="347">
        <v>68752.564759471221</v>
      </c>
      <c r="CC91" s="347">
        <v>336887.56732140906</v>
      </c>
      <c r="CD91" s="347">
        <v>2173609.9794264804</v>
      </c>
      <c r="CE91" s="347">
        <v>263144.72070760181</v>
      </c>
      <c r="CF91" s="347">
        <v>47196.000017382008</v>
      </c>
      <c r="CG91" s="347">
        <v>61318.772541667291</v>
      </c>
      <c r="CH91" s="347">
        <v>187136.82364144045</v>
      </c>
      <c r="CI91" s="347">
        <v>2466321.7955731871</v>
      </c>
      <c r="CJ91" s="347">
        <v>525604.15318938892</v>
      </c>
      <c r="CK91" s="347">
        <v>99246.868040627</v>
      </c>
      <c r="CL91" s="347">
        <v>116406.75877416845</v>
      </c>
      <c r="CM91" s="347">
        <v>259983.06954486211</v>
      </c>
      <c r="CN91" s="347">
        <v>1496958.3987575732</v>
      </c>
      <c r="CO91" s="347">
        <v>437447.89450680511</v>
      </c>
      <c r="CP91" s="347">
        <v>74471.15521290488</v>
      </c>
      <c r="CQ91" s="347">
        <v>89301.256089532864</v>
      </c>
      <c r="CR91" s="347">
        <v>211841.17719249817</v>
      </c>
      <c r="CS91" s="347">
        <v>3605200.8063156637</v>
      </c>
      <c r="CT91" s="347">
        <v>648649.34520042292</v>
      </c>
      <c r="CU91" s="347">
        <v>112103.18681775908</v>
      </c>
      <c r="CV91" s="347">
        <v>163915.58408647127</v>
      </c>
      <c r="CW91" s="347">
        <v>339665.32905213558</v>
      </c>
      <c r="CX91" s="347">
        <v>-745340.7872641813</v>
      </c>
      <c r="CY91" s="347">
        <v>-146205.56670919573</v>
      </c>
      <c r="CZ91" s="347">
        <v>-13622.416477413262</v>
      </c>
      <c r="DA91" s="347">
        <v>-28374.802985211078</v>
      </c>
      <c r="DB91" s="347">
        <v>-70236.739924753332</v>
      </c>
      <c r="DC91" s="347">
        <v>-3123175.3739402718</v>
      </c>
      <c r="DD91" s="347">
        <v>-1211569.8714968069</v>
      </c>
      <c r="DE91" s="347">
        <v>-142438.13326915351</v>
      </c>
      <c r="DF91" s="347">
        <v>-371220.28822452383</v>
      </c>
      <c r="DG91" s="347">
        <v>-708410.41099996225</v>
      </c>
      <c r="DH91" s="347">
        <v>-646859.94583752553</v>
      </c>
      <c r="DI91" s="347">
        <v>-189885.78208391185</v>
      </c>
      <c r="DJ91" s="347">
        <v>-27889.649959615144</v>
      </c>
      <c r="DK91" s="347">
        <v>-79620.452304062608</v>
      </c>
      <c r="DL91" s="347">
        <v>-73324.476283945463</v>
      </c>
      <c r="DM91" s="347">
        <v>-948979.68070428201</v>
      </c>
      <c r="DN91" s="347">
        <v>-298638.56582627591</v>
      </c>
      <c r="DO91" s="347">
        <v>-32447.90866151197</v>
      </c>
      <c r="DP91" s="347">
        <v>-115629.28777168633</v>
      </c>
      <c r="DQ91" s="347">
        <v>-204642.32693025365</v>
      </c>
      <c r="DR91" s="347">
        <v>1294077.075308566</v>
      </c>
      <c r="DS91" s="347">
        <v>394623.44526529883</v>
      </c>
      <c r="DT91" s="347">
        <v>14517.497186663268</v>
      </c>
      <c r="DU91" s="347">
        <v>59206.140700391916</v>
      </c>
      <c r="DV91" s="347">
        <v>84779.658787994034</v>
      </c>
      <c r="DW91" s="183"/>
    </row>
    <row r="92" spans="1:127" ht="30" customHeight="1" x14ac:dyDescent="0.3">
      <c r="B92" s="71"/>
      <c r="C92" s="45"/>
      <c r="D92" s="378"/>
      <c r="E92" s="75" t="s">
        <v>85</v>
      </c>
      <c r="F92" s="348">
        <f>SUM(G92:DV92)</f>
        <v>10908040.746893877</v>
      </c>
      <c r="G92" s="349">
        <v>0</v>
      </c>
      <c r="H92" s="349">
        <v>0</v>
      </c>
      <c r="I92" s="349">
        <v>0</v>
      </c>
      <c r="J92" s="349">
        <v>0</v>
      </c>
      <c r="K92" s="349">
        <v>0</v>
      </c>
      <c r="L92" s="349">
        <v>0</v>
      </c>
      <c r="M92" s="349">
        <v>0</v>
      </c>
      <c r="N92" s="349">
        <v>0</v>
      </c>
      <c r="O92" s="349">
        <v>0</v>
      </c>
      <c r="P92" s="349">
        <v>0</v>
      </c>
      <c r="Q92" s="349">
        <v>0</v>
      </c>
      <c r="R92" s="349">
        <v>0</v>
      </c>
      <c r="S92" s="349">
        <v>0</v>
      </c>
      <c r="T92" s="349">
        <v>0</v>
      </c>
      <c r="U92" s="349">
        <v>0</v>
      </c>
      <c r="V92" s="349">
        <v>867201.68894449517</v>
      </c>
      <c r="W92" s="349">
        <v>139650.72243137704</v>
      </c>
      <c r="X92" s="349">
        <v>29046.949618145485</v>
      </c>
      <c r="Y92" s="349">
        <v>40340.203305889976</v>
      </c>
      <c r="Z92" s="349">
        <v>92667.451846955271</v>
      </c>
      <c r="AA92" s="349">
        <v>1898694.6384126698</v>
      </c>
      <c r="AB92" s="349">
        <v>337384.58758734784</v>
      </c>
      <c r="AC92" s="349">
        <v>71853.445565553266</v>
      </c>
      <c r="AD92" s="349">
        <v>58527.89747885066</v>
      </c>
      <c r="AE92" s="349">
        <v>178215.55257340617</v>
      </c>
      <c r="AF92" s="349">
        <v>806567.04042590538</v>
      </c>
      <c r="AG92" s="349">
        <v>173407.83167782094</v>
      </c>
      <c r="AH92" s="349">
        <v>27679.940848471808</v>
      </c>
      <c r="AI92" s="349">
        <v>41578.225754832303</v>
      </c>
      <c r="AJ92" s="349">
        <v>109228.12998689237</v>
      </c>
      <c r="AK92" s="349">
        <v>4454656.6855177535</v>
      </c>
      <c r="AL92" s="349">
        <v>780736.45564882981</v>
      </c>
      <c r="AM92" s="349">
        <v>153200.82011376717</v>
      </c>
      <c r="AN92" s="349">
        <v>187406.52752024255</v>
      </c>
      <c r="AO92" s="349">
        <v>459995.95163467113</v>
      </c>
      <c r="AP92" s="349">
        <v>0</v>
      </c>
      <c r="AQ92" s="349">
        <v>0</v>
      </c>
      <c r="AR92" s="349">
        <v>0</v>
      </c>
      <c r="AS92" s="349">
        <v>0</v>
      </c>
      <c r="AT92" s="349">
        <v>0</v>
      </c>
      <c r="AU92" s="349">
        <v>0</v>
      </c>
      <c r="AV92" s="349">
        <v>0</v>
      </c>
      <c r="AW92" s="349">
        <v>0</v>
      </c>
      <c r="AX92" s="349">
        <v>0</v>
      </c>
      <c r="AY92" s="349">
        <v>0</v>
      </c>
      <c r="AZ92" s="349">
        <v>0</v>
      </c>
      <c r="BA92" s="349">
        <v>0</v>
      </c>
      <c r="BB92" s="349">
        <v>0</v>
      </c>
      <c r="BC92" s="349">
        <v>0</v>
      </c>
      <c r="BD92" s="349">
        <v>0</v>
      </c>
      <c r="BE92" s="349">
        <v>0</v>
      </c>
      <c r="BF92" s="349">
        <v>0</v>
      </c>
      <c r="BG92" s="349">
        <v>0</v>
      </c>
      <c r="BH92" s="349">
        <v>0</v>
      </c>
      <c r="BI92" s="349">
        <v>0</v>
      </c>
      <c r="BJ92" s="349">
        <v>0</v>
      </c>
      <c r="BK92" s="349">
        <v>0</v>
      </c>
      <c r="BL92" s="349">
        <v>0</v>
      </c>
      <c r="BM92" s="349">
        <v>0</v>
      </c>
      <c r="BN92" s="349">
        <v>0</v>
      </c>
      <c r="BO92" s="349">
        <v>0</v>
      </c>
      <c r="BP92" s="349">
        <v>0</v>
      </c>
      <c r="BQ92" s="349">
        <v>0</v>
      </c>
      <c r="BR92" s="349">
        <v>0</v>
      </c>
      <c r="BS92" s="349">
        <v>0</v>
      </c>
      <c r="BT92" s="349">
        <v>0</v>
      </c>
      <c r="BU92" s="349">
        <v>0</v>
      </c>
      <c r="BV92" s="349">
        <v>0</v>
      </c>
      <c r="BW92" s="349">
        <v>0</v>
      </c>
      <c r="BX92" s="349">
        <v>0</v>
      </c>
      <c r="BY92" s="349">
        <v>0</v>
      </c>
      <c r="BZ92" s="349">
        <v>0</v>
      </c>
      <c r="CA92" s="349">
        <v>0</v>
      </c>
      <c r="CB92" s="349">
        <v>0</v>
      </c>
      <c r="CC92" s="349">
        <v>0</v>
      </c>
      <c r="CD92" s="349">
        <v>0</v>
      </c>
      <c r="CE92" s="349">
        <v>0</v>
      </c>
      <c r="CF92" s="349">
        <v>0</v>
      </c>
      <c r="CG92" s="349">
        <v>0</v>
      </c>
      <c r="CH92" s="349">
        <v>0</v>
      </c>
      <c r="CI92" s="349">
        <v>0</v>
      </c>
      <c r="CJ92" s="349">
        <v>0</v>
      </c>
      <c r="CK92" s="349">
        <v>0</v>
      </c>
      <c r="CL92" s="349">
        <v>0</v>
      </c>
      <c r="CM92" s="349">
        <v>0</v>
      </c>
      <c r="CN92" s="349">
        <v>0</v>
      </c>
      <c r="CO92" s="349">
        <v>0</v>
      </c>
      <c r="CP92" s="349">
        <v>0</v>
      </c>
      <c r="CQ92" s="349">
        <v>0</v>
      </c>
      <c r="CR92" s="349">
        <v>0</v>
      </c>
      <c r="CS92" s="349">
        <v>0</v>
      </c>
      <c r="CT92" s="349">
        <v>0</v>
      </c>
      <c r="CU92" s="349">
        <v>0</v>
      </c>
      <c r="CV92" s="349">
        <v>0</v>
      </c>
      <c r="CW92" s="349">
        <v>0</v>
      </c>
      <c r="CX92" s="349">
        <v>0</v>
      </c>
      <c r="CY92" s="349">
        <v>0</v>
      </c>
      <c r="CZ92" s="349">
        <v>0</v>
      </c>
      <c r="DA92" s="349">
        <v>0</v>
      </c>
      <c r="DB92" s="349">
        <v>0</v>
      </c>
      <c r="DC92" s="349">
        <v>0</v>
      </c>
      <c r="DD92" s="349">
        <v>0</v>
      </c>
      <c r="DE92" s="349">
        <v>0</v>
      </c>
      <c r="DF92" s="349">
        <v>0</v>
      </c>
      <c r="DG92" s="349">
        <v>0</v>
      </c>
      <c r="DH92" s="349">
        <v>0</v>
      </c>
      <c r="DI92" s="349">
        <v>0</v>
      </c>
      <c r="DJ92" s="349">
        <v>0</v>
      </c>
      <c r="DK92" s="349">
        <v>0</v>
      </c>
      <c r="DL92" s="349">
        <v>0</v>
      </c>
      <c r="DM92" s="349">
        <v>0</v>
      </c>
      <c r="DN92" s="349">
        <v>0</v>
      </c>
      <c r="DO92" s="349">
        <v>0</v>
      </c>
      <c r="DP92" s="349">
        <v>0</v>
      </c>
      <c r="DQ92" s="349">
        <v>0</v>
      </c>
      <c r="DR92" s="349">
        <v>0</v>
      </c>
      <c r="DS92" s="349">
        <v>0</v>
      </c>
      <c r="DT92" s="349">
        <v>0</v>
      </c>
      <c r="DU92" s="349">
        <v>0</v>
      </c>
      <c r="DV92" s="349">
        <v>0</v>
      </c>
      <c r="DW92" s="183"/>
    </row>
    <row r="93" spans="1:127" ht="29.25" customHeight="1" x14ac:dyDescent="0.3">
      <c r="B93" s="71"/>
      <c r="C93" s="45"/>
      <c r="D93" s="83"/>
      <c r="E93" s="75" t="s">
        <v>86</v>
      </c>
      <c r="F93" s="350">
        <f>+F92/F91</f>
        <v>0.15304171917461423</v>
      </c>
      <c r="G93" s="340">
        <f t="shared" ref="G93:AL93" si="61">G92/G91</f>
        <v>0</v>
      </c>
      <c r="H93" s="340">
        <f t="shared" si="61"/>
        <v>0</v>
      </c>
      <c r="I93" s="340">
        <f t="shared" si="61"/>
        <v>0</v>
      </c>
      <c r="J93" s="340">
        <f t="shared" si="61"/>
        <v>0</v>
      </c>
      <c r="K93" s="340">
        <f t="shared" si="61"/>
        <v>0</v>
      </c>
      <c r="L93" s="340">
        <f t="shared" si="61"/>
        <v>0</v>
      </c>
      <c r="M93" s="340">
        <f t="shared" si="61"/>
        <v>0</v>
      </c>
      <c r="N93" s="340">
        <f t="shared" si="61"/>
        <v>0</v>
      </c>
      <c r="O93" s="340">
        <f t="shared" si="61"/>
        <v>0</v>
      </c>
      <c r="P93" s="340">
        <f t="shared" si="61"/>
        <v>0</v>
      </c>
      <c r="Q93" s="340">
        <f t="shared" si="61"/>
        <v>0</v>
      </c>
      <c r="R93" s="340">
        <f t="shared" si="61"/>
        <v>0</v>
      </c>
      <c r="S93" s="340">
        <f t="shared" si="61"/>
        <v>0</v>
      </c>
      <c r="T93" s="340">
        <f t="shared" si="61"/>
        <v>0</v>
      </c>
      <c r="U93" s="340">
        <f t="shared" si="61"/>
        <v>0</v>
      </c>
      <c r="V93" s="340">
        <f t="shared" si="61"/>
        <v>0.34751907658886599</v>
      </c>
      <c r="W93" s="340">
        <f t="shared" si="61"/>
        <v>0.34751907658886594</v>
      </c>
      <c r="X93" s="340">
        <f t="shared" si="61"/>
        <v>0.34751907658886627</v>
      </c>
      <c r="Y93" s="340">
        <f t="shared" si="61"/>
        <v>0.34751907658886594</v>
      </c>
      <c r="Z93" s="340">
        <f t="shared" si="61"/>
        <v>0.36622429995587696</v>
      </c>
      <c r="AA93" s="340">
        <f t="shared" si="61"/>
        <v>0.3958892732558949</v>
      </c>
      <c r="AB93" s="340">
        <f t="shared" si="61"/>
        <v>0.39588927325589501</v>
      </c>
      <c r="AC93" s="340">
        <f t="shared" si="61"/>
        <v>0.39588927325589512</v>
      </c>
      <c r="AD93" s="340">
        <f t="shared" si="61"/>
        <v>0.39588927325589474</v>
      </c>
      <c r="AE93" s="340">
        <f t="shared" si="61"/>
        <v>0.33378074375907013</v>
      </c>
      <c r="AF93" s="340">
        <f t="shared" si="61"/>
        <v>0.24248383479870222</v>
      </c>
      <c r="AG93" s="340">
        <f t="shared" si="61"/>
        <v>0.24248383479870225</v>
      </c>
      <c r="AH93" s="340">
        <f t="shared" si="61"/>
        <v>0.2424838347987022</v>
      </c>
      <c r="AI93" s="340">
        <f t="shared" si="61"/>
        <v>0.24248383479870239</v>
      </c>
      <c r="AJ93" s="340">
        <f t="shared" si="61"/>
        <v>0.19861268660223316</v>
      </c>
      <c r="AK93" s="340">
        <f t="shared" si="61"/>
        <v>0.37433104349607788</v>
      </c>
      <c r="AL93" s="340">
        <f t="shared" si="61"/>
        <v>0.37433104349607799</v>
      </c>
      <c r="AM93" s="340">
        <f t="shared" ref="AM93:BR93" si="62">AM92/AM91</f>
        <v>0.37433104349607793</v>
      </c>
      <c r="AN93" s="340">
        <f t="shared" si="62"/>
        <v>0.37433104349607799</v>
      </c>
      <c r="AO93" s="340">
        <f t="shared" si="62"/>
        <v>0.34668337268924149</v>
      </c>
      <c r="AP93" s="340">
        <f t="shared" si="62"/>
        <v>0</v>
      </c>
      <c r="AQ93" s="340">
        <f t="shared" si="62"/>
        <v>0</v>
      </c>
      <c r="AR93" s="340">
        <f t="shared" si="62"/>
        <v>0</v>
      </c>
      <c r="AS93" s="340">
        <f t="shared" si="62"/>
        <v>0</v>
      </c>
      <c r="AT93" s="340">
        <f t="shared" si="62"/>
        <v>0</v>
      </c>
      <c r="AU93" s="340">
        <f t="shared" si="62"/>
        <v>0</v>
      </c>
      <c r="AV93" s="340">
        <f t="shared" si="62"/>
        <v>0</v>
      </c>
      <c r="AW93" s="340">
        <f t="shared" si="62"/>
        <v>0</v>
      </c>
      <c r="AX93" s="340">
        <f t="shared" si="62"/>
        <v>0</v>
      </c>
      <c r="AY93" s="340">
        <f t="shared" si="62"/>
        <v>0</v>
      </c>
      <c r="AZ93" s="340">
        <f t="shared" si="62"/>
        <v>0</v>
      </c>
      <c r="BA93" s="340">
        <f t="shared" si="62"/>
        <v>0</v>
      </c>
      <c r="BB93" s="340">
        <f t="shared" si="62"/>
        <v>0</v>
      </c>
      <c r="BC93" s="340">
        <f t="shared" si="62"/>
        <v>0</v>
      </c>
      <c r="BD93" s="340">
        <f t="shared" si="62"/>
        <v>0</v>
      </c>
      <c r="BE93" s="340">
        <f t="shared" si="62"/>
        <v>0</v>
      </c>
      <c r="BF93" s="340">
        <f t="shared" si="62"/>
        <v>0</v>
      </c>
      <c r="BG93" s="340">
        <f t="shared" si="62"/>
        <v>0</v>
      </c>
      <c r="BH93" s="340">
        <f t="shared" si="62"/>
        <v>0</v>
      </c>
      <c r="BI93" s="340">
        <f t="shared" si="62"/>
        <v>0</v>
      </c>
      <c r="BJ93" s="340">
        <f t="shared" si="62"/>
        <v>0</v>
      </c>
      <c r="BK93" s="340">
        <f t="shared" si="62"/>
        <v>0</v>
      </c>
      <c r="BL93" s="340">
        <f t="shared" si="62"/>
        <v>0</v>
      </c>
      <c r="BM93" s="340">
        <f t="shared" si="62"/>
        <v>0</v>
      </c>
      <c r="BN93" s="340">
        <f t="shared" si="62"/>
        <v>0</v>
      </c>
      <c r="BO93" s="340">
        <f t="shared" si="62"/>
        <v>0</v>
      </c>
      <c r="BP93" s="340">
        <f t="shared" si="62"/>
        <v>0</v>
      </c>
      <c r="BQ93" s="340">
        <f t="shared" si="62"/>
        <v>0</v>
      </c>
      <c r="BR93" s="340">
        <f t="shared" si="62"/>
        <v>0</v>
      </c>
      <c r="BS93" s="340">
        <f t="shared" ref="BS93:CX93" si="63">BS92/BS91</f>
        <v>0</v>
      </c>
      <c r="BT93" s="340">
        <f t="shared" si="63"/>
        <v>0</v>
      </c>
      <c r="BU93" s="340">
        <f t="shared" si="63"/>
        <v>0</v>
      </c>
      <c r="BV93" s="340">
        <f t="shared" si="63"/>
        <v>0</v>
      </c>
      <c r="BW93" s="340">
        <f t="shared" si="63"/>
        <v>0</v>
      </c>
      <c r="BX93" s="340">
        <f t="shared" si="63"/>
        <v>0</v>
      </c>
      <c r="BY93" s="340">
        <f t="shared" si="63"/>
        <v>0</v>
      </c>
      <c r="BZ93" s="340">
        <f t="shared" si="63"/>
        <v>0</v>
      </c>
      <c r="CA93" s="340">
        <f t="shared" si="63"/>
        <v>0</v>
      </c>
      <c r="CB93" s="340">
        <f t="shared" si="63"/>
        <v>0</v>
      </c>
      <c r="CC93" s="340">
        <f t="shared" si="63"/>
        <v>0</v>
      </c>
      <c r="CD93" s="340">
        <f t="shared" si="63"/>
        <v>0</v>
      </c>
      <c r="CE93" s="340">
        <f t="shared" si="63"/>
        <v>0</v>
      </c>
      <c r="CF93" s="340">
        <f t="shared" si="63"/>
        <v>0</v>
      </c>
      <c r="CG93" s="340">
        <f t="shared" si="63"/>
        <v>0</v>
      </c>
      <c r="CH93" s="340">
        <f t="shared" si="63"/>
        <v>0</v>
      </c>
      <c r="CI93" s="340">
        <f t="shared" si="63"/>
        <v>0</v>
      </c>
      <c r="CJ93" s="340">
        <f t="shared" si="63"/>
        <v>0</v>
      </c>
      <c r="CK93" s="340">
        <f t="shared" si="63"/>
        <v>0</v>
      </c>
      <c r="CL93" s="340">
        <f t="shared" si="63"/>
        <v>0</v>
      </c>
      <c r="CM93" s="340">
        <f t="shared" si="63"/>
        <v>0</v>
      </c>
      <c r="CN93" s="340">
        <f t="shared" si="63"/>
        <v>0</v>
      </c>
      <c r="CO93" s="340">
        <f t="shared" si="63"/>
        <v>0</v>
      </c>
      <c r="CP93" s="340">
        <f t="shared" si="63"/>
        <v>0</v>
      </c>
      <c r="CQ93" s="340">
        <f t="shared" si="63"/>
        <v>0</v>
      </c>
      <c r="CR93" s="340">
        <f t="shared" si="63"/>
        <v>0</v>
      </c>
      <c r="CS93" s="340">
        <f t="shared" si="63"/>
        <v>0</v>
      </c>
      <c r="CT93" s="340">
        <f t="shared" si="63"/>
        <v>0</v>
      </c>
      <c r="CU93" s="340">
        <f t="shared" si="63"/>
        <v>0</v>
      </c>
      <c r="CV93" s="340">
        <f t="shared" si="63"/>
        <v>0</v>
      </c>
      <c r="CW93" s="340">
        <f t="shared" si="63"/>
        <v>0</v>
      </c>
      <c r="CX93" s="340">
        <f t="shared" si="63"/>
        <v>0</v>
      </c>
      <c r="CY93" s="340">
        <f t="shared" ref="CY93:DV93" si="64">CY92/CY91</f>
        <v>0</v>
      </c>
      <c r="CZ93" s="340">
        <f t="shared" si="64"/>
        <v>0</v>
      </c>
      <c r="DA93" s="340">
        <f t="shared" si="64"/>
        <v>0</v>
      </c>
      <c r="DB93" s="340">
        <f t="shared" si="64"/>
        <v>0</v>
      </c>
      <c r="DC93" s="340">
        <f t="shared" si="64"/>
        <v>0</v>
      </c>
      <c r="DD93" s="340">
        <f t="shared" si="64"/>
        <v>0</v>
      </c>
      <c r="DE93" s="340">
        <f t="shared" si="64"/>
        <v>0</v>
      </c>
      <c r="DF93" s="340">
        <f t="shared" si="64"/>
        <v>0</v>
      </c>
      <c r="DG93" s="340">
        <f t="shared" si="64"/>
        <v>0</v>
      </c>
      <c r="DH93" s="340">
        <f t="shared" si="64"/>
        <v>0</v>
      </c>
      <c r="DI93" s="340">
        <f t="shared" si="64"/>
        <v>0</v>
      </c>
      <c r="DJ93" s="340">
        <f t="shared" si="64"/>
        <v>0</v>
      </c>
      <c r="DK93" s="340">
        <f t="shared" si="64"/>
        <v>0</v>
      </c>
      <c r="DL93" s="340">
        <f t="shared" si="64"/>
        <v>0</v>
      </c>
      <c r="DM93" s="340">
        <f t="shared" si="64"/>
        <v>0</v>
      </c>
      <c r="DN93" s="340">
        <f t="shared" si="64"/>
        <v>0</v>
      </c>
      <c r="DO93" s="340">
        <f t="shared" si="64"/>
        <v>0</v>
      </c>
      <c r="DP93" s="340">
        <f t="shared" si="64"/>
        <v>0</v>
      </c>
      <c r="DQ93" s="340">
        <f t="shared" si="64"/>
        <v>0</v>
      </c>
      <c r="DR93" s="340">
        <f t="shared" si="64"/>
        <v>0</v>
      </c>
      <c r="DS93" s="340">
        <f t="shared" si="64"/>
        <v>0</v>
      </c>
      <c r="DT93" s="340">
        <f t="shared" si="64"/>
        <v>0</v>
      </c>
      <c r="DU93" s="340">
        <f t="shared" si="64"/>
        <v>0</v>
      </c>
      <c r="DV93" s="340">
        <f t="shared" si="64"/>
        <v>0</v>
      </c>
      <c r="DW93" s="183"/>
    </row>
    <row r="94" spans="1:127" x14ac:dyDescent="0.3">
      <c r="A94" s="258" t="str">
        <f>IF(ABS(B94/F94-1)&lt;0.1,"OK","WARNING")</f>
        <v>OK</v>
      </c>
      <c r="B94" s="43">
        <f>+'Wksh 1 - Market Experience'!X38</f>
        <v>492069278.05211318</v>
      </c>
      <c r="C94" s="45"/>
      <c r="D94" s="83"/>
      <c r="E94" s="73" t="s">
        <v>84</v>
      </c>
      <c r="F94" s="343">
        <f>SUM(G94:DV94)</f>
        <v>491883681.0926283</v>
      </c>
      <c r="G94" s="344">
        <f t="shared" ref="G94:AL94" si="65">+G87-G91</f>
        <v>6247198.7214611424</v>
      </c>
      <c r="H94" s="344">
        <f t="shared" si="65"/>
        <v>715605.41407143848</v>
      </c>
      <c r="I94" s="344">
        <f t="shared" si="65"/>
        <v>113929.36901708094</v>
      </c>
      <c r="J94" s="344">
        <f t="shared" si="65"/>
        <v>103181.31533622424</v>
      </c>
      <c r="K94" s="344">
        <f t="shared" si="65"/>
        <v>857574.30553113867</v>
      </c>
      <c r="L94" s="344">
        <f t="shared" si="65"/>
        <v>2310351.5282454793</v>
      </c>
      <c r="M94" s="344">
        <f t="shared" si="65"/>
        <v>408473.84071720764</v>
      </c>
      <c r="N94" s="344">
        <f t="shared" si="65"/>
        <v>86601.486763966503</v>
      </c>
      <c r="O94" s="344">
        <f t="shared" si="65"/>
        <v>71503.891008505016</v>
      </c>
      <c r="P94" s="344">
        <f t="shared" si="65"/>
        <v>364078.52164295333</v>
      </c>
      <c r="Q94" s="344">
        <f t="shared" si="65"/>
        <v>1319519.9821753548</v>
      </c>
      <c r="R94" s="344">
        <f t="shared" si="65"/>
        <v>203184.46188671881</v>
      </c>
      <c r="S94" s="344">
        <f t="shared" si="65"/>
        <v>44409.756659959814</v>
      </c>
      <c r="T94" s="344">
        <f t="shared" si="65"/>
        <v>45981.783444383174</v>
      </c>
      <c r="U94" s="344">
        <f t="shared" si="65"/>
        <v>160220.96986842848</v>
      </c>
      <c r="V94" s="344">
        <f t="shared" si="65"/>
        <v>12996787.529078759</v>
      </c>
      <c r="W94" s="344">
        <f t="shared" si="65"/>
        <v>2092951.1448854308</v>
      </c>
      <c r="X94" s="344">
        <f t="shared" si="65"/>
        <v>435327.83361432666</v>
      </c>
      <c r="Y94" s="344">
        <f t="shared" si="65"/>
        <v>604580.29306265537</v>
      </c>
      <c r="Z94" s="344">
        <f t="shared" si="65"/>
        <v>1317876.2069181849</v>
      </c>
      <c r="AA94" s="344">
        <f t="shared" si="65"/>
        <v>21712868.983076517</v>
      </c>
      <c r="AB94" s="344">
        <f t="shared" si="65"/>
        <v>3858223.0122678718</v>
      </c>
      <c r="AC94" s="344">
        <f t="shared" si="65"/>
        <v>821693.18751106656</v>
      </c>
      <c r="AD94" s="344">
        <f t="shared" si="65"/>
        <v>669306.45091810497</v>
      </c>
      <c r="AE94" s="344">
        <f t="shared" si="65"/>
        <v>2417242.0791439186</v>
      </c>
      <c r="AF94" s="344">
        <f t="shared" si="65"/>
        <v>15124105.719245281</v>
      </c>
      <c r="AG94" s="344">
        <f t="shared" si="65"/>
        <v>3251606.186952021</v>
      </c>
      <c r="AH94" s="344">
        <f t="shared" si="65"/>
        <v>519032.30694088968</v>
      </c>
      <c r="AI94" s="344">
        <f t="shared" si="65"/>
        <v>779641.92735011468</v>
      </c>
      <c r="AJ94" s="344">
        <f t="shared" si="65"/>
        <v>2500572.9996101856</v>
      </c>
      <c r="AK94" s="344">
        <f t="shared" si="65"/>
        <v>39349491.194092758</v>
      </c>
      <c r="AL94" s="344">
        <f t="shared" si="65"/>
        <v>6896509.530428635</v>
      </c>
      <c r="AM94" s="344">
        <f t="shared" ref="AM94:BR94" si="66">+AM87-AM91</f>
        <v>1353274.7296986831</v>
      </c>
      <c r="AN94" s="344">
        <f t="shared" si="66"/>
        <v>1655425.3279152946</v>
      </c>
      <c r="AO94" s="344">
        <f t="shared" si="66"/>
        <v>4387344.3621686501</v>
      </c>
      <c r="AP94" s="344">
        <f t="shared" si="66"/>
        <v>12837387.118001157</v>
      </c>
      <c r="AQ94" s="344">
        <f t="shared" si="66"/>
        <v>2182639.0998794702</v>
      </c>
      <c r="AR94" s="344">
        <f t="shared" si="66"/>
        <v>399656.5604212209</v>
      </c>
      <c r="AS94" s="344">
        <f t="shared" si="66"/>
        <v>546967.26644343755</v>
      </c>
      <c r="AT94" s="344">
        <f t="shared" si="66"/>
        <v>1735150.1430501486</v>
      </c>
      <c r="AU94" s="344">
        <f t="shared" si="66"/>
        <v>47717829.855473675</v>
      </c>
      <c r="AV94" s="344">
        <f t="shared" si="66"/>
        <v>13359119.148154065</v>
      </c>
      <c r="AW94" s="344">
        <f t="shared" si="66"/>
        <v>1623449.8614255928</v>
      </c>
      <c r="AX94" s="344">
        <f t="shared" si="66"/>
        <v>3805295.1147481203</v>
      </c>
      <c r="AY94" s="344">
        <f t="shared" si="66"/>
        <v>9303991.1558300722</v>
      </c>
      <c r="AZ94" s="344">
        <f t="shared" si="66"/>
        <v>5618036.9441841701</v>
      </c>
      <c r="BA94" s="344">
        <f t="shared" si="66"/>
        <v>1467958.5049748495</v>
      </c>
      <c r="BB94" s="344">
        <f t="shared" si="66"/>
        <v>235837.50611154208</v>
      </c>
      <c r="BC94" s="344">
        <f t="shared" si="66"/>
        <v>375260.48066646181</v>
      </c>
      <c r="BD94" s="344">
        <f t="shared" si="66"/>
        <v>1077791.5815373291</v>
      </c>
      <c r="BE94" s="344">
        <f t="shared" si="66"/>
        <v>36509108.309187695</v>
      </c>
      <c r="BF94" s="344">
        <f t="shared" si="66"/>
        <v>6520854.4500091104</v>
      </c>
      <c r="BG94" s="344">
        <f t="shared" si="66"/>
        <v>1000518.2825193836</v>
      </c>
      <c r="BH94" s="344">
        <f t="shared" si="66"/>
        <v>2402352.7218378889</v>
      </c>
      <c r="BI94" s="344">
        <f t="shared" si="66"/>
        <v>5661146.5346420826</v>
      </c>
      <c r="BJ94" s="344">
        <f t="shared" si="66"/>
        <v>1654673.2351649585</v>
      </c>
      <c r="BK94" s="344">
        <f t="shared" si="66"/>
        <v>437825.6828963611</v>
      </c>
      <c r="BL94" s="344">
        <f t="shared" si="66"/>
        <v>285.04276230231847</v>
      </c>
      <c r="BM94" s="344">
        <f t="shared" si="66"/>
        <v>45891.884730673279</v>
      </c>
      <c r="BN94" s="344">
        <f t="shared" si="66"/>
        <v>93120.620016544417</v>
      </c>
      <c r="BO94" s="344">
        <f t="shared" si="66"/>
        <v>15509226.500402592</v>
      </c>
      <c r="BP94" s="344">
        <f t="shared" si="66"/>
        <v>1384779.2362415765</v>
      </c>
      <c r="BQ94" s="344">
        <f t="shared" si="66"/>
        <v>175193.27499796412</v>
      </c>
      <c r="BR94" s="344">
        <f t="shared" si="66"/>
        <v>448838.72171257547</v>
      </c>
      <c r="BS94" s="344">
        <f t="shared" ref="BS94:CX94" si="67">+BS87-BS91</f>
        <v>1484714.6393661818</v>
      </c>
      <c r="BT94" s="344">
        <f t="shared" si="67"/>
        <v>3294421.2071396555</v>
      </c>
      <c r="BU94" s="344">
        <f t="shared" si="67"/>
        <v>628018.04566120985</v>
      </c>
      <c r="BV94" s="344">
        <f t="shared" si="67"/>
        <v>63745.404300837326</v>
      </c>
      <c r="BW94" s="344">
        <f t="shared" si="67"/>
        <v>39002.122368275464</v>
      </c>
      <c r="BX94" s="344">
        <f t="shared" si="67"/>
        <v>540965.72791287873</v>
      </c>
      <c r="BY94" s="344">
        <f t="shared" si="67"/>
        <v>2352538.0828895527</v>
      </c>
      <c r="BZ94" s="344">
        <f t="shared" si="67"/>
        <v>338575.26869518042</v>
      </c>
      <c r="CA94" s="344">
        <f t="shared" si="67"/>
        <v>49322.340361282804</v>
      </c>
      <c r="CB94" s="344">
        <f t="shared" si="67"/>
        <v>53645.414018447031</v>
      </c>
      <c r="CC94" s="344">
        <f t="shared" si="67"/>
        <v>262862.52869039046</v>
      </c>
      <c r="CD94" s="344">
        <f t="shared" si="67"/>
        <v>11320775.369663602</v>
      </c>
      <c r="CE94" s="344">
        <f t="shared" si="67"/>
        <v>1370532.1106547592</v>
      </c>
      <c r="CF94" s="344">
        <f t="shared" si="67"/>
        <v>245810.11294602064</v>
      </c>
      <c r="CG94" s="344">
        <f t="shared" si="67"/>
        <v>319365.50552223448</v>
      </c>
      <c r="CH94" s="344">
        <f t="shared" si="67"/>
        <v>974661.49120095873</v>
      </c>
      <c r="CI94" s="344">
        <f t="shared" si="67"/>
        <v>11165689.927565154</v>
      </c>
      <c r="CJ94" s="344">
        <f t="shared" si="67"/>
        <v>2379548.7716513653</v>
      </c>
      <c r="CK94" s="344">
        <f t="shared" si="67"/>
        <v>449316.77480718773</v>
      </c>
      <c r="CL94" s="344">
        <f t="shared" si="67"/>
        <v>527004.13071732502</v>
      </c>
      <c r="CM94" s="344">
        <f t="shared" si="67"/>
        <v>1177011.9966360223</v>
      </c>
      <c r="CN94" s="344">
        <f t="shared" si="67"/>
        <v>6806467.2049256852</v>
      </c>
      <c r="CO94" s="344">
        <f t="shared" si="67"/>
        <v>1989016.3616407551</v>
      </c>
      <c r="CP94" s="344">
        <f t="shared" si="67"/>
        <v>338610.26204219565</v>
      </c>
      <c r="CQ94" s="344">
        <f t="shared" si="67"/>
        <v>406040.72326696012</v>
      </c>
      <c r="CR94" s="344">
        <f t="shared" si="67"/>
        <v>963213.15703249467</v>
      </c>
      <c r="CS94" s="344">
        <f t="shared" si="67"/>
        <v>11920931.333762595</v>
      </c>
      <c r="CT94" s="344">
        <f t="shared" si="67"/>
        <v>2144819.3094482711</v>
      </c>
      <c r="CU94" s="344">
        <f t="shared" si="67"/>
        <v>370679.59987398714</v>
      </c>
      <c r="CV94" s="344">
        <f t="shared" si="67"/>
        <v>542002.10401742661</v>
      </c>
      <c r="CW94" s="344">
        <f t="shared" si="67"/>
        <v>1123134.960193353</v>
      </c>
      <c r="CX94" s="344">
        <f t="shared" si="67"/>
        <v>10349230.843797503</v>
      </c>
      <c r="CY94" s="344">
        <f t="shared" ref="CY94:DV94" si="68">+CY87-CY91</f>
        <v>2030098.4279629737</v>
      </c>
      <c r="CZ94" s="344">
        <f t="shared" si="68"/>
        <v>189150.4331764557</v>
      </c>
      <c r="DA94" s="344">
        <f t="shared" si="68"/>
        <v>393990.76403575105</v>
      </c>
      <c r="DB94" s="344">
        <f t="shared" si="68"/>
        <v>975253.5318309291</v>
      </c>
      <c r="DC94" s="344">
        <f t="shared" si="68"/>
        <v>35410831.098281972</v>
      </c>
      <c r="DD94" s="344">
        <f t="shared" si="68"/>
        <v>13736883.442831941</v>
      </c>
      <c r="DE94" s="344">
        <f t="shared" si="68"/>
        <v>1614975.8099511187</v>
      </c>
      <c r="DF94" s="344">
        <f t="shared" si="68"/>
        <v>4208927.5665586041</v>
      </c>
      <c r="DG94" s="344">
        <f t="shared" si="68"/>
        <v>8032018.1894031214</v>
      </c>
      <c r="DH94" s="344">
        <f t="shared" si="68"/>
        <v>5437023.3873891393</v>
      </c>
      <c r="DI94" s="344">
        <f t="shared" si="68"/>
        <v>1596038.5934642837</v>
      </c>
      <c r="DJ94" s="344">
        <f t="shared" si="68"/>
        <v>234419.64535335649</v>
      </c>
      <c r="DK94" s="344">
        <f t="shared" si="68"/>
        <v>669230.27786361449</v>
      </c>
      <c r="DL94" s="344">
        <f t="shared" si="68"/>
        <v>616310.98816559964</v>
      </c>
      <c r="DM94" s="344">
        <f t="shared" si="68"/>
        <v>15803156.41890697</v>
      </c>
      <c r="DN94" s="344">
        <f t="shared" si="68"/>
        <v>4973164.4042875245</v>
      </c>
      <c r="DO94" s="344">
        <f t="shared" si="68"/>
        <v>540348.1091014744</v>
      </c>
      <c r="DP94" s="344">
        <f t="shared" si="68"/>
        <v>1925549.8915494527</v>
      </c>
      <c r="DQ94" s="344">
        <f t="shared" si="68"/>
        <v>3407865.0662022443</v>
      </c>
      <c r="DR94" s="344">
        <f t="shared" si="68"/>
        <v>2921973.3563610669</v>
      </c>
      <c r="DS94" s="344">
        <f t="shared" si="68"/>
        <v>891043.67495704757</v>
      </c>
      <c r="DT94" s="344">
        <f t="shared" si="68"/>
        <v>32779.917664766617</v>
      </c>
      <c r="DU94" s="344">
        <f t="shared" si="68"/>
        <v>133685.05551978736</v>
      </c>
      <c r="DV94" s="344">
        <f t="shared" si="68"/>
        <v>191429.01830699106</v>
      </c>
      <c r="DW94" s="183"/>
    </row>
    <row r="95" spans="1:127" x14ac:dyDescent="0.3">
      <c r="B95" s="43"/>
      <c r="C95" s="45"/>
      <c r="D95" s="83"/>
      <c r="E95" s="73"/>
      <c r="F95" s="42"/>
      <c r="G95" s="39"/>
      <c r="H95" s="39"/>
      <c r="I95" s="39"/>
      <c r="J95" s="39"/>
      <c r="K95" s="39"/>
      <c r="L95" s="39"/>
      <c r="M95" s="39"/>
      <c r="N95" s="39"/>
      <c r="O95" s="39"/>
      <c r="P95" s="39"/>
      <c r="Q95" s="39"/>
      <c r="R95" s="39"/>
      <c r="S95" s="39"/>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BG95" s="39"/>
      <c r="BH95" s="39"/>
      <c r="BI95" s="39"/>
      <c r="BJ95" s="39"/>
      <c r="BK95" s="39"/>
      <c r="BL95" s="39"/>
      <c r="BM95" s="39"/>
      <c r="BN95" s="39"/>
      <c r="BO95" s="39"/>
      <c r="BP95" s="39"/>
      <c r="BQ95" s="39"/>
      <c r="BR95" s="39"/>
      <c r="BS95" s="39"/>
      <c r="BT95" s="39"/>
      <c r="BU95" s="39"/>
      <c r="BV95" s="39"/>
      <c r="BW95" s="39"/>
      <c r="BX95" s="39"/>
      <c r="BY95" s="39"/>
      <c r="BZ95" s="39"/>
      <c r="CA95" s="39"/>
      <c r="CB95" s="39"/>
      <c r="CC95" s="39"/>
      <c r="CD95" s="39"/>
      <c r="CE95" s="39"/>
      <c r="CF95" s="39"/>
      <c r="CG95" s="39"/>
      <c r="CH95" s="39"/>
      <c r="CI95" s="39"/>
      <c r="CJ95" s="39"/>
      <c r="CK95" s="39"/>
      <c r="CL95" s="39"/>
      <c r="CM95" s="39"/>
      <c r="CN95" s="39"/>
      <c r="CO95" s="39"/>
      <c r="CP95" s="39"/>
      <c r="CQ95" s="39"/>
      <c r="CR95" s="39"/>
      <c r="CS95" s="39"/>
      <c r="CT95" s="39"/>
      <c r="CU95" s="39"/>
      <c r="CV95" s="39"/>
      <c r="CW95" s="39"/>
      <c r="CX95" s="39"/>
      <c r="CY95" s="39"/>
      <c r="CZ95" s="39"/>
      <c r="DA95" s="39"/>
      <c r="DB95" s="39"/>
      <c r="DC95" s="39"/>
      <c r="DD95" s="39"/>
      <c r="DE95" s="39"/>
      <c r="DF95" s="39"/>
      <c r="DG95" s="39"/>
      <c r="DH95" s="39"/>
      <c r="DI95" s="39"/>
      <c r="DJ95" s="39"/>
      <c r="DK95" s="39"/>
      <c r="DL95" s="39"/>
      <c r="DM95" s="39"/>
      <c r="DN95" s="39"/>
      <c r="DO95" s="39"/>
      <c r="DP95" s="39"/>
      <c r="DQ95" s="39"/>
      <c r="DR95" s="39"/>
      <c r="DS95" s="39"/>
      <c r="DT95" s="39"/>
      <c r="DU95" s="39"/>
      <c r="DV95" s="39"/>
      <c r="DW95" s="183"/>
    </row>
    <row r="96" spans="1:127" x14ac:dyDescent="0.3">
      <c r="A96" s="258" t="e">
        <f>IF(ABS(B96/F96-1)&lt;0.05,"OK","WARNING")</f>
        <v>#DIV/0!</v>
      </c>
      <c r="B96" s="43">
        <f>'Wksh 1 - Market Experience'!X37</f>
        <v>0</v>
      </c>
      <c r="C96" s="45"/>
      <c r="D96" s="83"/>
      <c r="E96" s="73" t="s">
        <v>94</v>
      </c>
      <c r="F96" s="343">
        <f>SUM(G96:DV96)</f>
        <v>0</v>
      </c>
      <c r="G96" s="345">
        <v>0</v>
      </c>
      <c r="H96" s="345">
        <v>0</v>
      </c>
      <c r="I96" s="345">
        <v>0</v>
      </c>
      <c r="J96" s="345">
        <v>0</v>
      </c>
      <c r="K96" s="345">
        <v>0</v>
      </c>
      <c r="L96" s="345">
        <v>0</v>
      </c>
      <c r="M96" s="345">
        <v>0</v>
      </c>
      <c r="N96" s="345">
        <v>0</v>
      </c>
      <c r="O96" s="345">
        <v>0</v>
      </c>
      <c r="P96" s="345">
        <v>0</v>
      </c>
      <c r="Q96" s="345">
        <v>0</v>
      </c>
      <c r="R96" s="345">
        <v>0</v>
      </c>
      <c r="S96" s="345">
        <v>0</v>
      </c>
      <c r="T96" s="345">
        <v>0</v>
      </c>
      <c r="U96" s="345">
        <v>0</v>
      </c>
      <c r="V96" s="345">
        <v>0</v>
      </c>
      <c r="W96" s="345">
        <v>0</v>
      </c>
      <c r="X96" s="345">
        <v>0</v>
      </c>
      <c r="Y96" s="345">
        <v>0</v>
      </c>
      <c r="Z96" s="345">
        <v>0</v>
      </c>
      <c r="AA96" s="345">
        <v>0</v>
      </c>
      <c r="AB96" s="345">
        <v>0</v>
      </c>
      <c r="AC96" s="345">
        <v>0</v>
      </c>
      <c r="AD96" s="345">
        <v>0</v>
      </c>
      <c r="AE96" s="345">
        <v>0</v>
      </c>
      <c r="AF96" s="345">
        <v>0</v>
      </c>
      <c r="AG96" s="345">
        <v>0</v>
      </c>
      <c r="AH96" s="345">
        <v>0</v>
      </c>
      <c r="AI96" s="345">
        <v>0</v>
      </c>
      <c r="AJ96" s="345">
        <v>0</v>
      </c>
      <c r="AK96" s="345">
        <v>0</v>
      </c>
      <c r="AL96" s="345">
        <v>0</v>
      </c>
      <c r="AM96" s="345">
        <v>0</v>
      </c>
      <c r="AN96" s="345">
        <v>0</v>
      </c>
      <c r="AO96" s="345">
        <v>0</v>
      </c>
      <c r="AP96" s="345">
        <v>0</v>
      </c>
      <c r="AQ96" s="345">
        <v>0</v>
      </c>
      <c r="AR96" s="345">
        <v>0</v>
      </c>
      <c r="AS96" s="345">
        <v>0</v>
      </c>
      <c r="AT96" s="345">
        <v>0</v>
      </c>
      <c r="AU96" s="345">
        <v>0</v>
      </c>
      <c r="AV96" s="345">
        <v>0</v>
      </c>
      <c r="AW96" s="345">
        <v>0</v>
      </c>
      <c r="AX96" s="345">
        <v>0</v>
      </c>
      <c r="AY96" s="345">
        <v>0</v>
      </c>
      <c r="AZ96" s="345">
        <v>0</v>
      </c>
      <c r="BA96" s="345">
        <v>0</v>
      </c>
      <c r="BB96" s="345">
        <v>0</v>
      </c>
      <c r="BC96" s="345">
        <v>0</v>
      </c>
      <c r="BD96" s="345">
        <v>0</v>
      </c>
      <c r="BE96" s="345">
        <v>0</v>
      </c>
      <c r="BF96" s="345">
        <v>0</v>
      </c>
      <c r="BG96" s="345">
        <v>0</v>
      </c>
      <c r="BH96" s="345">
        <v>0</v>
      </c>
      <c r="BI96" s="345">
        <v>0</v>
      </c>
      <c r="BJ96" s="345">
        <v>0</v>
      </c>
      <c r="BK96" s="345">
        <v>0</v>
      </c>
      <c r="BL96" s="345">
        <v>0</v>
      </c>
      <c r="BM96" s="345">
        <v>0</v>
      </c>
      <c r="BN96" s="345">
        <v>0</v>
      </c>
      <c r="BO96" s="345">
        <v>0</v>
      </c>
      <c r="BP96" s="345">
        <v>0</v>
      </c>
      <c r="BQ96" s="345">
        <v>0</v>
      </c>
      <c r="BR96" s="345">
        <v>0</v>
      </c>
      <c r="BS96" s="345">
        <v>0</v>
      </c>
      <c r="BT96" s="345">
        <v>0</v>
      </c>
      <c r="BU96" s="345">
        <v>0</v>
      </c>
      <c r="BV96" s="345">
        <v>0</v>
      </c>
      <c r="BW96" s="345">
        <v>0</v>
      </c>
      <c r="BX96" s="345">
        <v>0</v>
      </c>
      <c r="BY96" s="345">
        <v>0</v>
      </c>
      <c r="BZ96" s="345">
        <v>0</v>
      </c>
      <c r="CA96" s="345">
        <v>0</v>
      </c>
      <c r="CB96" s="345">
        <v>0</v>
      </c>
      <c r="CC96" s="345">
        <v>0</v>
      </c>
      <c r="CD96" s="345">
        <v>0</v>
      </c>
      <c r="CE96" s="345">
        <v>0</v>
      </c>
      <c r="CF96" s="345">
        <v>0</v>
      </c>
      <c r="CG96" s="345">
        <v>0</v>
      </c>
      <c r="CH96" s="345">
        <v>0</v>
      </c>
      <c r="CI96" s="345">
        <v>0</v>
      </c>
      <c r="CJ96" s="345">
        <v>0</v>
      </c>
      <c r="CK96" s="345">
        <v>0</v>
      </c>
      <c r="CL96" s="345">
        <v>0</v>
      </c>
      <c r="CM96" s="345">
        <v>0</v>
      </c>
      <c r="CN96" s="345">
        <v>0</v>
      </c>
      <c r="CO96" s="345">
        <v>0</v>
      </c>
      <c r="CP96" s="345">
        <v>0</v>
      </c>
      <c r="CQ96" s="345">
        <v>0</v>
      </c>
      <c r="CR96" s="345">
        <v>0</v>
      </c>
      <c r="CS96" s="345">
        <v>0</v>
      </c>
      <c r="CT96" s="345">
        <v>0</v>
      </c>
      <c r="CU96" s="345">
        <v>0</v>
      </c>
      <c r="CV96" s="345">
        <v>0</v>
      </c>
      <c r="CW96" s="345">
        <v>0</v>
      </c>
      <c r="CX96" s="345">
        <v>0</v>
      </c>
      <c r="CY96" s="345">
        <v>0</v>
      </c>
      <c r="CZ96" s="345">
        <v>0</v>
      </c>
      <c r="DA96" s="345">
        <v>0</v>
      </c>
      <c r="DB96" s="345">
        <v>0</v>
      </c>
      <c r="DC96" s="345">
        <v>0</v>
      </c>
      <c r="DD96" s="345">
        <v>0</v>
      </c>
      <c r="DE96" s="345">
        <v>0</v>
      </c>
      <c r="DF96" s="345">
        <v>0</v>
      </c>
      <c r="DG96" s="345">
        <v>0</v>
      </c>
      <c r="DH96" s="345">
        <v>0</v>
      </c>
      <c r="DI96" s="345">
        <v>0</v>
      </c>
      <c r="DJ96" s="345">
        <v>0</v>
      </c>
      <c r="DK96" s="345">
        <v>0</v>
      </c>
      <c r="DL96" s="345">
        <v>0</v>
      </c>
      <c r="DM96" s="345">
        <v>0</v>
      </c>
      <c r="DN96" s="345">
        <v>0</v>
      </c>
      <c r="DO96" s="345">
        <v>0</v>
      </c>
      <c r="DP96" s="345">
        <v>0</v>
      </c>
      <c r="DQ96" s="345">
        <v>0</v>
      </c>
      <c r="DR96" s="345">
        <v>0</v>
      </c>
      <c r="DS96" s="345">
        <v>0</v>
      </c>
      <c r="DT96" s="345">
        <v>0</v>
      </c>
      <c r="DU96" s="345">
        <v>0</v>
      </c>
      <c r="DV96" s="345">
        <v>0</v>
      </c>
      <c r="DW96" s="183"/>
    </row>
    <row r="97" spans="1:136" x14ac:dyDescent="0.3">
      <c r="B97" s="71"/>
      <c r="C97" s="45"/>
      <c r="D97" s="84"/>
      <c r="E97" s="73" t="s">
        <v>93</v>
      </c>
      <c r="F97" s="343">
        <f>SUM(G97:DV97)</f>
        <v>-75245580.77806516</v>
      </c>
      <c r="G97" s="345">
        <v>5529068.1103441762</v>
      </c>
      <c r="H97" s="345">
        <v>633344.83997439151</v>
      </c>
      <c r="I97" s="345">
        <v>100832.91234197281</v>
      </c>
      <c r="J97" s="345">
        <v>91320.373441786694</v>
      </c>
      <c r="K97" s="345">
        <v>758938.82539916981</v>
      </c>
      <c r="L97" s="345">
        <v>2044733.1964499245</v>
      </c>
      <c r="M97" s="345">
        <v>361512.09536072367</v>
      </c>
      <c r="N97" s="345">
        <v>76645.018164260211</v>
      </c>
      <c r="O97" s="345">
        <v>63283.174803904913</v>
      </c>
      <c r="P97" s="345">
        <v>322196.81183496775</v>
      </c>
      <c r="Q97" s="345">
        <v>1167757.2449215192</v>
      </c>
      <c r="R97" s="345">
        <v>179815.48641084897</v>
      </c>
      <c r="S97" s="345">
        <v>39302.030878966987</v>
      </c>
      <c r="T97" s="345">
        <v>40693.25321096582</v>
      </c>
      <c r="U97" s="345">
        <v>141782.09047732089</v>
      </c>
      <c r="V97" s="345">
        <v>-964096.77130840113</v>
      </c>
      <c r="W97" s="345">
        <v>-155254.32240664566</v>
      </c>
      <c r="X97" s="345">
        <v>-32292.453647428541</v>
      </c>
      <c r="Y97" s="345">
        <v>-44847.536918971877</v>
      </c>
      <c r="Z97" s="345">
        <v>-97808.180769946819</v>
      </c>
      <c r="AA97" s="345">
        <v>-1610691.1157124478</v>
      </c>
      <c r="AB97" s="345">
        <v>-286208.40171516821</v>
      </c>
      <c r="AC97" s="345">
        <v>-60954.354673123911</v>
      </c>
      <c r="AD97" s="345">
        <v>-49650.092533744559</v>
      </c>
      <c r="AE97" s="345">
        <v>-179404.02351640182</v>
      </c>
      <c r="AF97" s="345">
        <v>-1122067.5074027136</v>
      </c>
      <c r="AG97" s="345">
        <v>-241238.83533859372</v>
      </c>
      <c r="AH97" s="345">
        <v>-38507.353606339806</v>
      </c>
      <c r="AI97" s="345">
        <v>-57842.155452219704</v>
      </c>
      <c r="AJ97" s="345">
        <v>-185614.17282047623</v>
      </c>
      <c r="AK97" s="345">
        <v>-2920167.8041100111</v>
      </c>
      <c r="AL97" s="345">
        <v>-511797.34426957119</v>
      </c>
      <c r="AM97" s="345">
        <v>-100427.96427250943</v>
      </c>
      <c r="AN97" s="345">
        <v>-122850.88314972189</v>
      </c>
      <c r="AO97" s="345">
        <v>-325765.0329635836</v>
      </c>
      <c r="AP97" s="345">
        <v>-4643264.8188196551</v>
      </c>
      <c r="AQ97" s="345">
        <v>-789457.48472751095</v>
      </c>
      <c r="AR97" s="345">
        <v>-144555.2143560558</v>
      </c>
      <c r="AS97" s="345">
        <v>-197837.28900419851</v>
      </c>
      <c r="AT97" s="345">
        <v>-627656.4850382196</v>
      </c>
      <c r="AU97" s="345">
        <v>-17259122.174431399</v>
      </c>
      <c r="AV97" s="345">
        <v>-4831876.6846503774</v>
      </c>
      <c r="AW97" s="345">
        <v>-587187.6316938994</v>
      </c>
      <c r="AX97" s="345">
        <v>-1376341.998245151</v>
      </c>
      <c r="AY97" s="345">
        <v>-3365461.1596377371</v>
      </c>
      <c r="AZ97" s="345">
        <v>-2031895.5623867002</v>
      </c>
      <c r="BA97" s="345">
        <v>-530921.81515715423</v>
      </c>
      <c r="BB97" s="345">
        <v>-85296.196317907234</v>
      </c>
      <c r="BC97" s="345">
        <v>-135721.80335955584</v>
      </c>
      <c r="BD97" s="345">
        <v>-389840.32080067083</v>
      </c>
      <c r="BE97" s="345">
        <v>-13205550.166942079</v>
      </c>
      <c r="BF97" s="345">
        <v>-2358629.7929180712</v>
      </c>
      <c r="BG97" s="345">
        <v>-361893.0996851403</v>
      </c>
      <c r="BH97" s="345">
        <v>-868944.5142908761</v>
      </c>
      <c r="BI97" s="345">
        <v>-2047852.3925544326</v>
      </c>
      <c r="BJ97" s="345">
        <v>-169993.53306229581</v>
      </c>
      <c r="BK97" s="345">
        <v>-44980.200996328407</v>
      </c>
      <c r="BL97" s="345">
        <v>-29.283985023651308</v>
      </c>
      <c r="BM97" s="345">
        <v>-4714.7215888078608</v>
      </c>
      <c r="BN97" s="345">
        <v>-9571.3084673766443</v>
      </c>
      <c r="BO97" s="345">
        <v>13726403.382190561</v>
      </c>
      <c r="BP97" s="345">
        <v>1225595.5118999791</v>
      </c>
      <c r="BQ97" s="345">
        <v>155054.38407303364</v>
      </c>
      <c r="BR97" s="345">
        <v>397243.62447177211</v>
      </c>
      <c r="BS97" s="345">
        <v>1313947.4645939097</v>
      </c>
      <c r="BT97" s="345">
        <v>2915665.5699241939</v>
      </c>
      <c r="BU97" s="345">
        <v>555815.56755922339</v>
      </c>
      <c r="BV97" s="345">
        <v>56416.671965944552</v>
      </c>
      <c r="BW97" s="345">
        <v>34518.095347584494</v>
      </c>
      <c r="BX97" s="345">
        <v>478735.82890573039</v>
      </c>
      <c r="BY97" s="345">
        <v>2081964.2198362513</v>
      </c>
      <c r="BZ97" s="345">
        <v>299634.50975424831</v>
      </c>
      <c r="CA97" s="345">
        <v>43649.600666463339</v>
      </c>
      <c r="CB97" s="345">
        <v>47475.462079460121</v>
      </c>
      <c r="CC97" s="345">
        <v>232611.24218935464</v>
      </c>
      <c r="CD97" s="345">
        <v>-839770.8247658012</v>
      </c>
      <c r="CE97" s="345">
        <v>-101665.55234518019</v>
      </c>
      <c r="CF97" s="345">
        <v>-18234.100981953183</v>
      </c>
      <c r="CG97" s="345">
        <v>-23690.412115484214</v>
      </c>
      <c r="CH97" s="345">
        <v>-72335.980284381512</v>
      </c>
      <c r="CI97" s="345">
        <v>-828286.56043319975</v>
      </c>
      <c r="CJ97" s="345">
        <v>-176518.26982839653</v>
      </c>
      <c r="CK97" s="345">
        <v>-33330.949396258213</v>
      </c>
      <c r="CL97" s="345">
        <v>-39093.906565353565</v>
      </c>
      <c r="CM97" s="345">
        <v>-87356.036760025265</v>
      </c>
      <c r="CN97" s="345">
        <v>-504976.34918875672</v>
      </c>
      <c r="CO97" s="345">
        <v>-147566.45268946371</v>
      </c>
      <c r="CP97" s="345">
        <v>-25121.721559192192</v>
      </c>
      <c r="CQ97" s="345">
        <v>-30124.43252630797</v>
      </c>
      <c r="CR97" s="345">
        <v>-71498.018022372053</v>
      </c>
      <c r="CS97" s="345">
        <v>-884665.05714527972</v>
      </c>
      <c r="CT97" s="345">
        <v>-159169.33365645554</v>
      </c>
      <c r="CU97" s="345">
        <v>-27508.52934420911</v>
      </c>
      <c r="CV97" s="345">
        <v>-40222.555511700717</v>
      </c>
      <c r="CW97" s="345">
        <v>-83393.977569859228</v>
      </c>
      <c r="CX97" s="345">
        <v>-3743302.2029431849</v>
      </c>
      <c r="CY97" s="345">
        <v>-734283.73879008496</v>
      </c>
      <c r="CZ97" s="345">
        <v>-68415.444962408088</v>
      </c>
      <c r="DA97" s="345">
        <v>-142505.90379266572</v>
      </c>
      <c r="DB97" s="345">
        <v>-352778.81067633873</v>
      </c>
      <c r="DC97" s="345">
        <v>-12807788.243398033</v>
      </c>
      <c r="DD97" s="345">
        <v>-4968510.7297176113</v>
      </c>
      <c r="DE97" s="345">
        <v>-584122.6413086839</v>
      </c>
      <c r="DF97" s="345">
        <v>-1522332.3297514638</v>
      </c>
      <c r="DG97" s="345">
        <v>-2905360.1618055678</v>
      </c>
      <c r="DH97" s="345">
        <v>-1966427.7403631362</v>
      </c>
      <c r="DI97" s="345">
        <v>-577244.99993100751</v>
      </c>
      <c r="DJ97" s="345">
        <v>-84783.393534432864</v>
      </c>
      <c r="DK97" s="345">
        <v>-242042.91379991313</v>
      </c>
      <c r="DL97" s="345">
        <v>-222921.46037803721</v>
      </c>
      <c r="DM97" s="345">
        <v>-5716090.7113524601</v>
      </c>
      <c r="DN97" s="345">
        <v>-1798821.5837290799</v>
      </c>
      <c r="DO97" s="345">
        <v>-195446.95537130127</v>
      </c>
      <c r="DP97" s="345">
        <v>-696482.24427894643</v>
      </c>
      <c r="DQ97" s="345">
        <v>-1232754.6348817768</v>
      </c>
      <c r="DR97" s="345">
        <v>-300190.13047744957</v>
      </c>
      <c r="DS97" s="345">
        <v>-91541.73718393399</v>
      </c>
      <c r="DT97" s="345">
        <v>-3367.6582777199001</v>
      </c>
      <c r="DU97" s="345">
        <v>-13734.188976092462</v>
      </c>
      <c r="DV97" s="345">
        <v>-19675.837462183747</v>
      </c>
    </row>
    <row r="98" spans="1:136" x14ac:dyDescent="0.3">
      <c r="B98" s="78"/>
      <c r="C98" s="45"/>
      <c r="D98" s="86"/>
      <c r="E98" s="87"/>
      <c r="F98" s="80"/>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34"/>
      <c r="DQ98" s="34"/>
      <c r="DR98" s="34"/>
      <c r="DS98" s="34"/>
      <c r="DT98" s="34"/>
      <c r="DU98" s="34"/>
      <c r="DV98" s="34"/>
      <c r="DW98" s="212"/>
    </row>
    <row r="99" spans="1:136" x14ac:dyDescent="0.3">
      <c r="A99" s="258" t="str">
        <f>IF(ABS(B99/F99-1)&lt;0.1,"OK","WARNING")</f>
        <v>OK</v>
      </c>
      <c r="B99" s="41">
        <f>+'Wksh 1 - Market Experience'!V38</f>
        <v>371.50117289669959</v>
      </c>
      <c r="C99" s="45"/>
      <c r="D99" s="82"/>
      <c r="E99" s="64" t="s">
        <v>87</v>
      </c>
      <c r="F99" s="271">
        <f t="shared" ref="F99" si="69">+F94/F82</f>
        <v>371.36105139102943</v>
      </c>
      <c r="G99" s="271">
        <f t="shared" ref="G99:AL99" si="70">+G94/G82</f>
        <v>214.96107361713379</v>
      </c>
      <c r="H99" s="271">
        <f t="shared" si="70"/>
        <v>214.96107361713382</v>
      </c>
      <c r="I99" s="271">
        <f t="shared" si="70"/>
        <v>214.96107361713385</v>
      </c>
      <c r="J99" s="271">
        <f t="shared" si="70"/>
        <v>214.96107361713385</v>
      </c>
      <c r="K99" s="271">
        <f t="shared" si="70"/>
        <v>195.61457699159186</v>
      </c>
      <c r="L99" s="271">
        <f t="shared" si="70"/>
        <v>209.68882993696491</v>
      </c>
      <c r="M99" s="271">
        <f t="shared" si="70"/>
        <v>209.68882993696491</v>
      </c>
      <c r="N99" s="271">
        <f t="shared" si="70"/>
        <v>209.68882993696491</v>
      </c>
      <c r="O99" s="271">
        <f t="shared" si="70"/>
        <v>209.68882993696485</v>
      </c>
      <c r="P99" s="271">
        <f t="shared" si="70"/>
        <v>190.81683524263801</v>
      </c>
      <c r="Q99" s="271">
        <f t="shared" si="70"/>
        <v>196.50334805291956</v>
      </c>
      <c r="R99" s="271">
        <f t="shared" si="70"/>
        <v>196.50334805291953</v>
      </c>
      <c r="S99" s="271">
        <f t="shared" si="70"/>
        <v>196.50334805291953</v>
      </c>
      <c r="T99" s="271">
        <f t="shared" si="70"/>
        <v>196.50334805291953</v>
      </c>
      <c r="U99" s="271">
        <f t="shared" si="70"/>
        <v>178.81804672815679</v>
      </c>
      <c r="V99" s="271">
        <f t="shared" si="70"/>
        <v>375.28261518476438</v>
      </c>
      <c r="W99" s="271">
        <f t="shared" si="70"/>
        <v>375.28261518476438</v>
      </c>
      <c r="X99" s="271">
        <f t="shared" si="70"/>
        <v>375.28261518476438</v>
      </c>
      <c r="Y99" s="271">
        <f t="shared" si="70"/>
        <v>375.28261518476432</v>
      </c>
      <c r="Z99" s="271">
        <f t="shared" si="70"/>
        <v>341.50717981813551</v>
      </c>
      <c r="AA99" s="271">
        <f t="shared" si="70"/>
        <v>373.49690341412111</v>
      </c>
      <c r="AB99" s="271">
        <f t="shared" si="70"/>
        <v>373.49690341412116</v>
      </c>
      <c r="AC99" s="271">
        <f t="shared" si="70"/>
        <v>373.49690341412116</v>
      </c>
      <c r="AD99" s="271">
        <f t="shared" si="70"/>
        <v>373.49690341412105</v>
      </c>
      <c r="AE99" s="271">
        <f t="shared" si="70"/>
        <v>339.88218210685022</v>
      </c>
      <c r="AF99" s="271">
        <f t="shared" si="70"/>
        <v>364.48897959332146</v>
      </c>
      <c r="AG99" s="271">
        <f t="shared" si="70"/>
        <v>364.48897959332146</v>
      </c>
      <c r="AH99" s="271">
        <f t="shared" si="70"/>
        <v>364.4889795933214</v>
      </c>
      <c r="AI99" s="271">
        <f t="shared" si="70"/>
        <v>364.48897959332152</v>
      </c>
      <c r="AJ99" s="271">
        <f t="shared" si="70"/>
        <v>331.68497142992248</v>
      </c>
      <c r="AK99" s="271">
        <f t="shared" si="70"/>
        <v>346.1060689766453</v>
      </c>
      <c r="AL99" s="271">
        <f t="shared" si="70"/>
        <v>346.10606897664536</v>
      </c>
      <c r="AM99" s="271">
        <f t="shared" ref="AM99:BR99" si="71">+AM94/AM82</f>
        <v>346.1060689766453</v>
      </c>
      <c r="AN99" s="271">
        <f t="shared" si="71"/>
        <v>346.1060689766453</v>
      </c>
      <c r="AO99" s="271">
        <f t="shared" si="71"/>
        <v>314.95652276874733</v>
      </c>
      <c r="AP99" s="271">
        <f t="shared" si="71"/>
        <v>435.83049118999008</v>
      </c>
      <c r="AQ99" s="271">
        <f t="shared" si="71"/>
        <v>435.83049118999003</v>
      </c>
      <c r="AR99" s="271">
        <f t="shared" si="71"/>
        <v>435.83049118999008</v>
      </c>
      <c r="AS99" s="271">
        <f t="shared" si="71"/>
        <v>435.83049118999008</v>
      </c>
      <c r="AT99" s="271">
        <f t="shared" si="71"/>
        <v>396.60574698289111</v>
      </c>
      <c r="AU99" s="271">
        <f t="shared" si="71"/>
        <v>446.0027091828552</v>
      </c>
      <c r="AV99" s="271">
        <f t="shared" si="71"/>
        <v>446.00270918285531</v>
      </c>
      <c r="AW99" s="271">
        <f t="shared" si="71"/>
        <v>446.00270918285514</v>
      </c>
      <c r="AX99" s="271">
        <f t="shared" si="71"/>
        <v>446.00270918285514</v>
      </c>
      <c r="AY99" s="271">
        <f t="shared" si="71"/>
        <v>405.86246535639822</v>
      </c>
      <c r="AZ99" s="271">
        <f t="shared" si="71"/>
        <v>472.62025272854129</v>
      </c>
      <c r="BA99" s="271">
        <f t="shared" si="71"/>
        <v>472.6202527285414</v>
      </c>
      <c r="BB99" s="271">
        <f t="shared" si="71"/>
        <v>472.62025272854123</v>
      </c>
      <c r="BC99" s="271">
        <f t="shared" si="71"/>
        <v>472.62025272854135</v>
      </c>
      <c r="BD99" s="271">
        <f t="shared" si="71"/>
        <v>430.08442998297249</v>
      </c>
      <c r="BE99" s="271">
        <f t="shared" si="71"/>
        <v>426.47838129555981</v>
      </c>
      <c r="BF99" s="271">
        <f t="shared" si="71"/>
        <v>426.47838129555987</v>
      </c>
      <c r="BG99" s="271">
        <f t="shared" si="71"/>
        <v>426.47838129555993</v>
      </c>
      <c r="BH99" s="271">
        <f t="shared" si="71"/>
        <v>426.47838129555993</v>
      </c>
      <c r="BI99" s="271">
        <f t="shared" si="71"/>
        <v>388.09532697895952</v>
      </c>
      <c r="BJ99" s="271">
        <f t="shared" si="71"/>
        <v>285.04276230231841</v>
      </c>
      <c r="BK99" s="271">
        <f t="shared" si="71"/>
        <v>285.04276230231841</v>
      </c>
      <c r="BL99" s="271">
        <f t="shared" si="71"/>
        <v>285.04276230231847</v>
      </c>
      <c r="BM99" s="271">
        <f t="shared" si="71"/>
        <v>285.04276230231852</v>
      </c>
      <c r="BN99" s="271">
        <f t="shared" si="71"/>
        <v>259.38891369510981</v>
      </c>
      <c r="BO99" s="271">
        <f t="shared" si="71"/>
        <v>214.96107361713388</v>
      </c>
      <c r="BP99" s="271">
        <f t="shared" si="71"/>
        <v>214.96107361713388</v>
      </c>
      <c r="BQ99" s="271">
        <f t="shared" si="71"/>
        <v>214.96107361713391</v>
      </c>
      <c r="BR99" s="271">
        <f t="shared" si="71"/>
        <v>214.96107361713385</v>
      </c>
      <c r="BS99" s="271">
        <f t="shared" ref="BS99:CX99" si="72">+BS94/BS82</f>
        <v>195.6145769915918</v>
      </c>
      <c r="BT99" s="271">
        <f t="shared" si="72"/>
        <v>209.68882993696491</v>
      </c>
      <c r="BU99" s="271">
        <f t="shared" si="72"/>
        <v>209.68882993696488</v>
      </c>
      <c r="BV99" s="271">
        <f t="shared" si="72"/>
        <v>209.68882993696488</v>
      </c>
      <c r="BW99" s="271">
        <f t="shared" si="72"/>
        <v>209.68882993696485</v>
      </c>
      <c r="BX99" s="271">
        <f t="shared" si="72"/>
        <v>190.81683524263801</v>
      </c>
      <c r="BY99" s="271">
        <f t="shared" si="72"/>
        <v>196.50334805291953</v>
      </c>
      <c r="BZ99" s="271">
        <f t="shared" si="72"/>
        <v>196.50334805291956</v>
      </c>
      <c r="CA99" s="271">
        <f t="shared" si="72"/>
        <v>196.50334805291953</v>
      </c>
      <c r="CB99" s="271">
        <f t="shared" si="72"/>
        <v>196.50334805291953</v>
      </c>
      <c r="CC99" s="271">
        <f t="shared" si="72"/>
        <v>178.81804672815679</v>
      </c>
      <c r="CD99" s="271">
        <f t="shared" si="72"/>
        <v>375.28261518476438</v>
      </c>
      <c r="CE99" s="271">
        <f t="shared" si="72"/>
        <v>375.28261518476432</v>
      </c>
      <c r="CF99" s="271">
        <f t="shared" si="72"/>
        <v>375.28261518476432</v>
      </c>
      <c r="CG99" s="271">
        <f t="shared" si="72"/>
        <v>375.28261518476438</v>
      </c>
      <c r="CH99" s="271">
        <f t="shared" si="72"/>
        <v>341.50717981813551</v>
      </c>
      <c r="CI99" s="271">
        <f t="shared" si="72"/>
        <v>373.49690341412122</v>
      </c>
      <c r="CJ99" s="271">
        <f t="shared" si="72"/>
        <v>373.49690341412105</v>
      </c>
      <c r="CK99" s="271">
        <f t="shared" si="72"/>
        <v>373.49690341412116</v>
      </c>
      <c r="CL99" s="271">
        <f t="shared" si="72"/>
        <v>373.49690341412122</v>
      </c>
      <c r="CM99" s="271">
        <f t="shared" si="72"/>
        <v>339.88218210685022</v>
      </c>
      <c r="CN99" s="271">
        <f t="shared" si="72"/>
        <v>364.48897959332146</v>
      </c>
      <c r="CO99" s="271">
        <f t="shared" si="72"/>
        <v>364.48897959332146</v>
      </c>
      <c r="CP99" s="271">
        <f t="shared" si="72"/>
        <v>364.48897959332146</v>
      </c>
      <c r="CQ99" s="271">
        <f t="shared" si="72"/>
        <v>364.48897959332146</v>
      </c>
      <c r="CR99" s="271">
        <f t="shared" si="72"/>
        <v>331.68497142992243</v>
      </c>
      <c r="CS99" s="271">
        <f t="shared" si="72"/>
        <v>346.10606897664536</v>
      </c>
      <c r="CT99" s="271">
        <f t="shared" si="72"/>
        <v>346.1060689766453</v>
      </c>
      <c r="CU99" s="271">
        <f t="shared" si="72"/>
        <v>346.1060689766453</v>
      </c>
      <c r="CV99" s="271">
        <f t="shared" si="72"/>
        <v>346.10606897664536</v>
      </c>
      <c r="CW99" s="271">
        <f t="shared" si="72"/>
        <v>314.95652276874733</v>
      </c>
      <c r="CX99" s="271">
        <f t="shared" si="72"/>
        <v>435.83049118999003</v>
      </c>
      <c r="CY99" s="271">
        <f t="shared" ref="CY99:DV99" si="73">+CY94/CY82</f>
        <v>435.83049118999008</v>
      </c>
      <c r="CZ99" s="271">
        <f t="shared" si="73"/>
        <v>435.83049118999008</v>
      </c>
      <c r="DA99" s="271">
        <f t="shared" si="73"/>
        <v>435.83049118999008</v>
      </c>
      <c r="DB99" s="271">
        <f t="shared" si="73"/>
        <v>396.60574698289105</v>
      </c>
      <c r="DC99" s="271">
        <f t="shared" si="73"/>
        <v>446.0027091828552</v>
      </c>
      <c r="DD99" s="271">
        <f t="shared" si="73"/>
        <v>446.0027091828552</v>
      </c>
      <c r="DE99" s="271">
        <f t="shared" si="73"/>
        <v>446.0027091828552</v>
      </c>
      <c r="DF99" s="271">
        <f t="shared" si="73"/>
        <v>446.00270918285514</v>
      </c>
      <c r="DG99" s="271">
        <f t="shared" si="73"/>
        <v>405.86246535639827</v>
      </c>
      <c r="DH99" s="271">
        <f t="shared" si="73"/>
        <v>472.62025272854129</v>
      </c>
      <c r="DI99" s="271">
        <f t="shared" si="73"/>
        <v>472.62025272854123</v>
      </c>
      <c r="DJ99" s="271">
        <f t="shared" si="73"/>
        <v>472.62025272854129</v>
      </c>
      <c r="DK99" s="271">
        <f t="shared" si="73"/>
        <v>472.62025272854129</v>
      </c>
      <c r="DL99" s="271">
        <f t="shared" si="73"/>
        <v>430.08442998297255</v>
      </c>
      <c r="DM99" s="271">
        <f t="shared" si="73"/>
        <v>426.47838129555987</v>
      </c>
      <c r="DN99" s="271">
        <f t="shared" si="73"/>
        <v>426.47838129555993</v>
      </c>
      <c r="DO99" s="271">
        <f t="shared" si="73"/>
        <v>426.47838129555993</v>
      </c>
      <c r="DP99" s="271">
        <f t="shared" si="73"/>
        <v>426.47838129555981</v>
      </c>
      <c r="DQ99" s="271">
        <f t="shared" si="73"/>
        <v>388.09532697895958</v>
      </c>
      <c r="DR99" s="271">
        <f t="shared" si="73"/>
        <v>285.04276230231852</v>
      </c>
      <c r="DS99" s="271">
        <f t="shared" si="73"/>
        <v>285.04276230231847</v>
      </c>
      <c r="DT99" s="271">
        <f t="shared" si="73"/>
        <v>285.04276230231841</v>
      </c>
      <c r="DU99" s="271">
        <f t="shared" si="73"/>
        <v>285.04276230231847</v>
      </c>
      <c r="DV99" s="271">
        <f t="shared" si="73"/>
        <v>259.38891369510981</v>
      </c>
      <c r="EA99" s="213"/>
      <c r="EF99" s="213"/>
    </row>
    <row r="100" spans="1:136" x14ac:dyDescent="0.3">
      <c r="A100" s="258" t="str">
        <f>IF(ABS(B100/F100-1)&lt;0.1,"OK","WARNING")</f>
        <v>OK</v>
      </c>
      <c r="B100" s="41">
        <f>+'Wksh 1 - Market Experience'!V32</f>
        <v>425.17202552825336</v>
      </c>
      <c r="C100" s="45"/>
      <c r="D100" s="83"/>
      <c r="E100" s="64" t="s">
        <v>8</v>
      </c>
      <c r="F100" s="271">
        <f t="shared" ref="F100" si="74">+F87/F82</f>
        <v>425.17202552825324</v>
      </c>
      <c r="G100" s="271">
        <f t="shared" ref="G100:AL100" si="75">+G87/G82</f>
        <v>453.10620783218525</v>
      </c>
      <c r="H100" s="271">
        <f t="shared" si="75"/>
        <v>453.10620783218525</v>
      </c>
      <c r="I100" s="271">
        <f t="shared" si="75"/>
        <v>453.10620783218525</v>
      </c>
      <c r="J100" s="271">
        <f t="shared" si="75"/>
        <v>453.10620783218525</v>
      </c>
      <c r="K100" s="271">
        <f t="shared" si="75"/>
        <v>412.32664912728865</v>
      </c>
      <c r="L100" s="271">
        <f t="shared" si="75"/>
        <v>458.48950982753109</v>
      </c>
      <c r="M100" s="271">
        <f t="shared" si="75"/>
        <v>458.48950982753109</v>
      </c>
      <c r="N100" s="271">
        <f t="shared" si="75"/>
        <v>458.48950982753109</v>
      </c>
      <c r="O100" s="271">
        <f t="shared" si="75"/>
        <v>458.48950982753109</v>
      </c>
      <c r="P100" s="271">
        <f t="shared" si="75"/>
        <v>417.22545394305325</v>
      </c>
      <c r="Q100" s="271">
        <f t="shared" si="75"/>
        <v>448.34424460775915</v>
      </c>
      <c r="R100" s="271">
        <f t="shared" si="75"/>
        <v>448.34424460775915</v>
      </c>
      <c r="S100" s="271">
        <f t="shared" si="75"/>
        <v>448.34424460775915</v>
      </c>
      <c r="T100" s="271">
        <f t="shared" si="75"/>
        <v>448.34424460775915</v>
      </c>
      <c r="U100" s="271">
        <f t="shared" si="75"/>
        <v>407.99326259306088</v>
      </c>
      <c r="V100" s="271">
        <f t="shared" si="75"/>
        <v>447.33757704336284</v>
      </c>
      <c r="W100" s="271">
        <f t="shared" si="75"/>
        <v>447.3375770433629</v>
      </c>
      <c r="X100" s="271">
        <f t="shared" si="75"/>
        <v>447.33757704336284</v>
      </c>
      <c r="Y100" s="271">
        <f t="shared" si="75"/>
        <v>447.33757704336284</v>
      </c>
      <c r="Z100" s="271">
        <f t="shared" si="75"/>
        <v>407.07719510946015</v>
      </c>
      <c r="AA100" s="271">
        <f t="shared" si="75"/>
        <v>455.9963780946091</v>
      </c>
      <c r="AB100" s="271">
        <f t="shared" si="75"/>
        <v>455.9963780946091</v>
      </c>
      <c r="AC100" s="271">
        <f t="shared" si="75"/>
        <v>455.9963780946091</v>
      </c>
      <c r="AD100" s="271">
        <f t="shared" si="75"/>
        <v>455.9963780946091</v>
      </c>
      <c r="AE100" s="271">
        <f t="shared" si="75"/>
        <v>414.95670406609429</v>
      </c>
      <c r="AF100" s="271">
        <f t="shared" si="75"/>
        <v>444.65168703455385</v>
      </c>
      <c r="AG100" s="271">
        <f t="shared" si="75"/>
        <v>444.65168703455385</v>
      </c>
      <c r="AH100" s="271">
        <f t="shared" si="75"/>
        <v>444.65168703455385</v>
      </c>
      <c r="AI100" s="271">
        <f t="shared" si="75"/>
        <v>444.65168703455385</v>
      </c>
      <c r="AJ100" s="271">
        <f t="shared" si="75"/>
        <v>404.63303520144387</v>
      </c>
      <c r="AK100" s="271">
        <f t="shared" si="75"/>
        <v>450.77757861040732</v>
      </c>
      <c r="AL100" s="271">
        <f t="shared" si="75"/>
        <v>450.77757861040732</v>
      </c>
      <c r="AM100" s="271">
        <f t="shared" ref="AM100:BR100" si="76">+AM87/AM82</f>
        <v>450.77757861040732</v>
      </c>
      <c r="AN100" s="271">
        <f t="shared" si="76"/>
        <v>450.77757861040726</v>
      </c>
      <c r="AO100" s="271">
        <f t="shared" si="76"/>
        <v>410.20759653547071</v>
      </c>
      <c r="AP100" s="271">
        <f t="shared" si="76"/>
        <v>404.44243479042035</v>
      </c>
      <c r="AQ100" s="271">
        <f t="shared" si="76"/>
        <v>404.44243479042035</v>
      </c>
      <c r="AR100" s="271">
        <f t="shared" si="76"/>
        <v>404.44243479042035</v>
      </c>
      <c r="AS100" s="271">
        <f t="shared" si="76"/>
        <v>404.44243479042035</v>
      </c>
      <c r="AT100" s="271">
        <f t="shared" si="76"/>
        <v>368.04261565928255</v>
      </c>
      <c r="AU100" s="271">
        <f t="shared" si="76"/>
        <v>406.66602504334855</v>
      </c>
      <c r="AV100" s="271">
        <f t="shared" si="76"/>
        <v>406.66602504334855</v>
      </c>
      <c r="AW100" s="271">
        <f t="shared" si="76"/>
        <v>406.6660250433485</v>
      </c>
      <c r="AX100" s="271">
        <f t="shared" si="76"/>
        <v>406.66602504334855</v>
      </c>
      <c r="AY100" s="271">
        <f t="shared" si="76"/>
        <v>370.06608278944708</v>
      </c>
      <c r="AZ100" s="271">
        <f t="shared" si="76"/>
        <v>416.39111974544625</v>
      </c>
      <c r="BA100" s="271">
        <f t="shared" si="76"/>
        <v>416.39111974544625</v>
      </c>
      <c r="BB100" s="271">
        <f t="shared" si="76"/>
        <v>416.39111974544625</v>
      </c>
      <c r="BC100" s="271">
        <f t="shared" si="76"/>
        <v>416.39111974544619</v>
      </c>
      <c r="BD100" s="271">
        <f t="shared" si="76"/>
        <v>378.91591896835604</v>
      </c>
      <c r="BE100" s="271">
        <f t="shared" si="76"/>
        <v>400.86835078134357</v>
      </c>
      <c r="BF100" s="271">
        <f t="shared" si="76"/>
        <v>400.86835078134362</v>
      </c>
      <c r="BG100" s="271">
        <f t="shared" si="76"/>
        <v>400.86835078134362</v>
      </c>
      <c r="BH100" s="271">
        <f t="shared" si="76"/>
        <v>400.86835078134362</v>
      </c>
      <c r="BI100" s="271">
        <f t="shared" si="76"/>
        <v>364.7901992110227</v>
      </c>
      <c r="BJ100" s="271">
        <f t="shared" si="76"/>
        <v>411.28186827330336</v>
      </c>
      <c r="BK100" s="271">
        <f t="shared" si="76"/>
        <v>411.28186827330336</v>
      </c>
      <c r="BL100" s="271">
        <f t="shared" si="76"/>
        <v>411.28186827330336</v>
      </c>
      <c r="BM100" s="271">
        <f t="shared" si="76"/>
        <v>411.28186827330336</v>
      </c>
      <c r="BN100" s="271">
        <f t="shared" si="76"/>
        <v>374.26650012870607</v>
      </c>
      <c r="BO100" s="271">
        <f t="shared" si="76"/>
        <v>453.10620783218525</v>
      </c>
      <c r="BP100" s="271">
        <f t="shared" si="76"/>
        <v>453.10620783218525</v>
      </c>
      <c r="BQ100" s="271">
        <f t="shared" si="76"/>
        <v>453.10620783218525</v>
      </c>
      <c r="BR100" s="271">
        <f t="shared" si="76"/>
        <v>453.10620783218525</v>
      </c>
      <c r="BS100" s="271">
        <f t="shared" ref="BS100:CX100" si="77">+BS87/BS82</f>
        <v>412.3266491272887</v>
      </c>
      <c r="BT100" s="271">
        <f t="shared" si="77"/>
        <v>458.48950982753109</v>
      </c>
      <c r="BU100" s="271">
        <f t="shared" si="77"/>
        <v>458.48950982753104</v>
      </c>
      <c r="BV100" s="271">
        <f t="shared" si="77"/>
        <v>458.48950982753109</v>
      </c>
      <c r="BW100" s="271">
        <f t="shared" si="77"/>
        <v>458.48950982753109</v>
      </c>
      <c r="BX100" s="271">
        <f t="shared" si="77"/>
        <v>417.22545394305325</v>
      </c>
      <c r="BY100" s="271">
        <f t="shared" si="77"/>
        <v>448.34424460775915</v>
      </c>
      <c r="BZ100" s="271">
        <f t="shared" si="77"/>
        <v>448.34424460775921</v>
      </c>
      <c r="CA100" s="271">
        <f t="shared" si="77"/>
        <v>448.34424460775915</v>
      </c>
      <c r="CB100" s="271">
        <f t="shared" si="77"/>
        <v>448.34424460775915</v>
      </c>
      <c r="CC100" s="271">
        <f t="shared" si="77"/>
        <v>407.99326259306088</v>
      </c>
      <c r="CD100" s="271">
        <f t="shared" si="77"/>
        <v>447.33757704336278</v>
      </c>
      <c r="CE100" s="271">
        <f t="shared" si="77"/>
        <v>447.33757704336284</v>
      </c>
      <c r="CF100" s="271">
        <f t="shared" si="77"/>
        <v>447.33757704336284</v>
      </c>
      <c r="CG100" s="271">
        <f t="shared" si="77"/>
        <v>447.33757704336284</v>
      </c>
      <c r="CH100" s="271">
        <f t="shared" si="77"/>
        <v>407.07719510946015</v>
      </c>
      <c r="CI100" s="271">
        <f t="shared" si="77"/>
        <v>455.9963780946091</v>
      </c>
      <c r="CJ100" s="271">
        <f t="shared" si="77"/>
        <v>455.99637809460904</v>
      </c>
      <c r="CK100" s="271">
        <f t="shared" si="77"/>
        <v>455.9963780946091</v>
      </c>
      <c r="CL100" s="271">
        <f t="shared" si="77"/>
        <v>455.9963780946091</v>
      </c>
      <c r="CM100" s="271">
        <f t="shared" si="77"/>
        <v>414.95670406609423</v>
      </c>
      <c r="CN100" s="271">
        <f t="shared" si="77"/>
        <v>444.65168703455385</v>
      </c>
      <c r="CO100" s="271">
        <f t="shared" si="77"/>
        <v>444.65168703455385</v>
      </c>
      <c r="CP100" s="271">
        <f t="shared" si="77"/>
        <v>444.65168703455385</v>
      </c>
      <c r="CQ100" s="271">
        <f t="shared" si="77"/>
        <v>444.65168703455385</v>
      </c>
      <c r="CR100" s="271">
        <f t="shared" si="77"/>
        <v>404.63303520144382</v>
      </c>
      <c r="CS100" s="271">
        <f t="shared" si="77"/>
        <v>450.77757861040732</v>
      </c>
      <c r="CT100" s="271">
        <f t="shared" si="77"/>
        <v>450.77757861040732</v>
      </c>
      <c r="CU100" s="271">
        <f t="shared" si="77"/>
        <v>450.77757861040732</v>
      </c>
      <c r="CV100" s="271">
        <f t="shared" si="77"/>
        <v>450.77757861040732</v>
      </c>
      <c r="CW100" s="271">
        <f t="shared" si="77"/>
        <v>410.20759653547071</v>
      </c>
      <c r="CX100" s="271">
        <f t="shared" si="77"/>
        <v>404.44243479042035</v>
      </c>
      <c r="CY100" s="271">
        <f t="shared" ref="CY100:DV100" si="78">+CY87/CY82</f>
        <v>404.44243479042035</v>
      </c>
      <c r="CZ100" s="271">
        <f t="shared" si="78"/>
        <v>404.44243479042035</v>
      </c>
      <c r="DA100" s="271">
        <f t="shared" si="78"/>
        <v>404.44243479042035</v>
      </c>
      <c r="DB100" s="271">
        <f t="shared" si="78"/>
        <v>368.04261565928255</v>
      </c>
      <c r="DC100" s="271">
        <f t="shared" si="78"/>
        <v>406.66602504334855</v>
      </c>
      <c r="DD100" s="271">
        <f t="shared" si="78"/>
        <v>406.66602504334855</v>
      </c>
      <c r="DE100" s="271">
        <f t="shared" si="78"/>
        <v>406.66602504334855</v>
      </c>
      <c r="DF100" s="271">
        <f t="shared" si="78"/>
        <v>406.66602504334855</v>
      </c>
      <c r="DG100" s="271">
        <f t="shared" si="78"/>
        <v>370.06608278944714</v>
      </c>
      <c r="DH100" s="271">
        <f t="shared" si="78"/>
        <v>416.39111974544625</v>
      </c>
      <c r="DI100" s="271">
        <f t="shared" si="78"/>
        <v>416.39111974544625</v>
      </c>
      <c r="DJ100" s="271">
        <f t="shared" si="78"/>
        <v>416.39111974544625</v>
      </c>
      <c r="DK100" s="271">
        <f t="shared" si="78"/>
        <v>416.39111974544619</v>
      </c>
      <c r="DL100" s="271">
        <f t="shared" si="78"/>
        <v>378.91591896835598</v>
      </c>
      <c r="DM100" s="271">
        <f t="shared" si="78"/>
        <v>400.86835078134362</v>
      </c>
      <c r="DN100" s="271">
        <f t="shared" si="78"/>
        <v>400.86835078134362</v>
      </c>
      <c r="DO100" s="271">
        <f t="shared" si="78"/>
        <v>400.86835078134362</v>
      </c>
      <c r="DP100" s="271">
        <f t="shared" si="78"/>
        <v>400.86835078134362</v>
      </c>
      <c r="DQ100" s="271">
        <f t="shared" si="78"/>
        <v>364.7901992110227</v>
      </c>
      <c r="DR100" s="271">
        <f t="shared" si="78"/>
        <v>411.28186827330336</v>
      </c>
      <c r="DS100" s="271">
        <f t="shared" si="78"/>
        <v>411.28186827330342</v>
      </c>
      <c r="DT100" s="271">
        <f t="shared" si="78"/>
        <v>411.28186827330336</v>
      </c>
      <c r="DU100" s="271">
        <f t="shared" si="78"/>
        <v>411.28186827330336</v>
      </c>
      <c r="DV100" s="271">
        <f t="shared" si="78"/>
        <v>374.26650012870607</v>
      </c>
      <c r="EA100" s="213"/>
      <c r="EF100" s="213"/>
    </row>
    <row r="101" spans="1:136" x14ac:dyDescent="0.3">
      <c r="B101" s="71"/>
      <c r="C101" s="45"/>
      <c r="D101" s="84"/>
      <c r="E101" s="38" t="s">
        <v>88</v>
      </c>
      <c r="F101" s="271">
        <f t="shared" ref="F101" si="79">+F100*F88</f>
        <v>424.6310772977389</v>
      </c>
      <c r="G101" s="271">
        <f t="shared" ref="G101:AL101" si="80">+G100*G88</f>
        <v>452.33592727887054</v>
      </c>
      <c r="H101" s="271">
        <f t="shared" si="80"/>
        <v>452.33592727887054</v>
      </c>
      <c r="I101" s="271">
        <f t="shared" si="80"/>
        <v>452.33592727887054</v>
      </c>
      <c r="J101" s="271">
        <f t="shared" si="80"/>
        <v>452.33592727887054</v>
      </c>
      <c r="K101" s="271">
        <f t="shared" si="80"/>
        <v>411.58446115885954</v>
      </c>
      <c r="L101" s="271">
        <f t="shared" si="80"/>
        <v>457.71007766082425</v>
      </c>
      <c r="M101" s="271">
        <f t="shared" si="80"/>
        <v>457.71007766082425</v>
      </c>
      <c r="N101" s="271">
        <f t="shared" si="80"/>
        <v>457.71007766082425</v>
      </c>
      <c r="O101" s="271">
        <f t="shared" si="80"/>
        <v>457.71007766082425</v>
      </c>
      <c r="P101" s="271">
        <f t="shared" si="80"/>
        <v>416.43272558056145</v>
      </c>
      <c r="Q101" s="271">
        <f t="shared" si="80"/>
        <v>447.53722496746519</v>
      </c>
      <c r="R101" s="271">
        <f t="shared" si="80"/>
        <v>447.53722496746519</v>
      </c>
      <c r="S101" s="271">
        <f t="shared" si="80"/>
        <v>447.53722496746519</v>
      </c>
      <c r="T101" s="271">
        <f t="shared" si="80"/>
        <v>447.53722496746519</v>
      </c>
      <c r="U101" s="271">
        <f t="shared" si="80"/>
        <v>407.17727606787474</v>
      </c>
      <c r="V101" s="271">
        <f t="shared" si="80"/>
        <v>446.48763564698044</v>
      </c>
      <c r="W101" s="271">
        <f t="shared" si="80"/>
        <v>446.48763564698049</v>
      </c>
      <c r="X101" s="271">
        <f t="shared" si="80"/>
        <v>446.48763564698044</v>
      </c>
      <c r="Y101" s="271">
        <f t="shared" si="80"/>
        <v>446.48763564698044</v>
      </c>
      <c r="Z101" s="271">
        <f t="shared" si="80"/>
        <v>406.22233299973027</v>
      </c>
      <c r="AA101" s="271">
        <f t="shared" si="80"/>
        <v>455.12998497622931</v>
      </c>
      <c r="AB101" s="271">
        <f t="shared" si="80"/>
        <v>455.12998497622931</v>
      </c>
      <c r="AC101" s="271">
        <f t="shared" si="80"/>
        <v>455.12998497622931</v>
      </c>
      <c r="AD101" s="271">
        <f t="shared" si="80"/>
        <v>455.12998497622931</v>
      </c>
      <c r="AE101" s="271">
        <f t="shared" si="80"/>
        <v>414.08529498755547</v>
      </c>
      <c r="AF101" s="271">
        <f t="shared" si="80"/>
        <v>443.76238366048472</v>
      </c>
      <c r="AG101" s="271">
        <f t="shared" si="80"/>
        <v>443.76238366048472</v>
      </c>
      <c r="AH101" s="271">
        <f t="shared" si="80"/>
        <v>443.76238366048472</v>
      </c>
      <c r="AI101" s="271">
        <f t="shared" si="80"/>
        <v>443.76238366048472</v>
      </c>
      <c r="AJ101" s="271">
        <f t="shared" si="80"/>
        <v>403.74284252400071</v>
      </c>
      <c r="AK101" s="271">
        <f t="shared" si="80"/>
        <v>449.83094569532545</v>
      </c>
      <c r="AL101" s="271">
        <f t="shared" si="80"/>
        <v>449.83094569532545</v>
      </c>
      <c r="AM101" s="271">
        <f t="shared" ref="AM101:BR101" si="81">+AM100*AM88</f>
        <v>449.83094569532545</v>
      </c>
      <c r="AN101" s="271">
        <f t="shared" si="81"/>
        <v>449.8309456953254</v>
      </c>
      <c r="AO101" s="271">
        <f t="shared" si="81"/>
        <v>409.26411906343913</v>
      </c>
      <c r="AP101" s="271">
        <f t="shared" si="81"/>
        <v>403.47177294692335</v>
      </c>
      <c r="AQ101" s="271">
        <f t="shared" si="81"/>
        <v>403.47177294692335</v>
      </c>
      <c r="AR101" s="271">
        <f t="shared" si="81"/>
        <v>403.47177294692335</v>
      </c>
      <c r="AS101" s="271">
        <f t="shared" si="81"/>
        <v>403.47177294692335</v>
      </c>
      <c r="AT101" s="271">
        <f t="shared" si="81"/>
        <v>367.04890059700244</v>
      </c>
      <c r="AU101" s="271">
        <f t="shared" si="81"/>
        <v>405.69002658324456</v>
      </c>
      <c r="AV101" s="271">
        <f t="shared" si="81"/>
        <v>405.69002658324456</v>
      </c>
      <c r="AW101" s="271">
        <f t="shared" si="81"/>
        <v>405.6900265832445</v>
      </c>
      <c r="AX101" s="271">
        <f t="shared" si="81"/>
        <v>405.69002658324456</v>
      </c>
      <c r="AY101" s="271">
        <f t="shared" si="81"/>
        <v>369.10391097419449</v>
      </c>
      <c r="AZ101" s="271">
        <f t="shared" si="81"/>
        <v>415.47505928200627</v>
      </c>
      <c r="BA101" s="271">
        <f t="shared" si="81"/>
        <v>415.47505928200627</v>
      </c>
      <c r="BB101" s="271">
        <f t="shared" si="81"/>
        <v>415.47505928200627</v>
      </c>
      <c r="BC101" s="271">
        <f t="shared" si="81"/>
        <v>415.47505928200621</v>
      </c>
      <c r="BD101" s="271">
        <f t="shared" si="81"/>
        <v>378.006520762832</v>
      </c>
      <c r="BE101" s="271">
        <f t="shared" si="81"/>
        <v>399.86617990439021</v>
      </c>
      <c r="BF101" s="271">
        <f t="shared" si="81"/>
        <v>399.86617990439026</v>
      </c>
      <c r="BG101" s="271">
        <f t="shared" si="81"/>
        <v>399.86617990439026</v>
      </c>
      <c r="BH101" s="271">
        <f t="shared" si="81"/>
        <v>399.86617990439026</v>
      </c>
      <c r="BI101" s="271">
        <f t="shared" si="81"/>
        <v>363.80526567315292</v>
      </c>
      <c r="BJ101" s="271">
        <f t="shared" si="81"/>
        <v>410.21253541579273</v>
      </c>
      <c r="BK101" s="271">
        <f t="shared" si="81"/>
        <v>410.21253541579273</v>
      </c>
      <c r="BL101" s="271">
        <f t="shared" si="81"/>
        <v>410.21253541579273</v>
      </c>
      <c r="BM101" s="271">
        <f t="shared" si="81"/>
        <v>410.21253541579273</v>
      </c>
      <c r="BN101" s="271">
        <f t="shared" si="81"/>
        <v>373.18112727833284</v>
      </c>
      <c r="BO101" s="271">
        <f t="shared" si="81"/>
        <v>453.10620783218525</v>
      </c>
      <c r="BP101" s="271">
        <f t="shared" si="81"/>
        <v>453.10620783218525</v>
      </c>
      <c r="BQ101" s="271">
        <f t="shared" si="81"/>
        <v>453.10620783218525</v>
      </c>
      <c r="BR101" s="271">
        <f t="shared" si="81"/>
        <v>453.10620783218525</v>
      </c>
      <c r="BS101" s="271">
        <f t="shared" ref="BS101:CX101" si="82">+BS100*BS88</f>
        <v>412.3266491272887</v>
      </c>
      <c r="BT101" s="271">
        <f t="shared" si="82"/>
        <v>458.48950982753109</v>
      </c>
      <c r="BU101" s="271">
        <f t="shared" si="82"/>
        <v>458.48950982753104</v>
      </c>
      <c r="BV101" s="271">
        <f t="shared" si="82"/>
        <v>458.48950982753109</v>
      </c>
      <c r="BW101" s="271">
        <f t="shared" si="82"/>
        <v>458.48950982753109</v>
      </c>
      <c r="BX101" s="271">
        <f t="shared" si="82"/>
        <v>417.22545394305325</v>
      </c>
      <c r="BY101" s="271">
        <f t="shared" si="82"/>
        <v>448.34424460775915</v>
      </c>
      <c r="BZ101" s="271">
        <f t="shared" si="82"/>
        <v>448.34424460775921</v>
      </c>
      <c r="CA101" s="271">
        <f t="shared" si="82"/>
        <v>448.34424460775915</v>
      </c>
      <c r="CB101" s="271">
        <f t="shared" si="82"/>
        <v>448.34424460775915</v>
      </c>
      <c r="CC101" s="271">
        <f t="shared" si="82"/>
        <v>407.99326259306088</v>
      </c>
      <c r="CD101" s="271">
        <f t="shared" si="82"/>
        <v>447.33757704336278</v>
      </c>
      <c r="CE101" s="271">
        <f t="shared" si="82"/>
        <v>447.33757704336284</v>
      </c>
      <c r="CF101" s="271">
        <f t="shared" si="82"/>
        <v>447.33757704336284</v>
      </c>
      <c r="CG101" s="271">
        <f t="shared" si="82"/>
        <v>447.33757704336284</v>
      </c>
      <c r="CH101" s="271">
        <f t="shared" si="82"/>
        <v>407.07719510946015</v>
      </c>
      <c r="CI101" s="271">
        <f t="shared" si="82"/>
        <v>455.9963780946091</v>
      </c>
      <c r="CJ101" s="271">
        <f t="shared" si="82"/>
        <v>455.99637809460904</v>
      </c>
      <c r="CK101" s="271">
        <f t="shared" si="82"/>
        <v>455.9963780946091</v>
      </c>
      <c r="CL101" s="271">
        <f t="shared" si="82"/>
        <v>455.9963780946091</v>
      </c>
      <c r="CM101" s="271">
        <f t="shared" si="82"/>
        <v>414.95670406609423</v>
      </c>
      <c r="CN101" s="271">
        <f t="shared" si="82"/>
        <v>444.65168703455385</v>
      </c>
      <c r="CO101" s="271">
        <f t="shared" si="82"/>
        <v>444.65168703455385</v>
      </c>
      <c r="CP101" s="271">
        <f t="shared" si="82"/>
        <v>444.65168703455385</v>
      </c>
      <c r="CQ101" s="271">
        <f t="shared" si="82"/>
        <v>444.65168703455385</v>
      </c>
      <c r="CR101" s="271">
        <f t="shared" si="82"/>
        <v>404.63303520144382</v>
      </c>
      <c r="CS101" s="271">
        <f t="shared" si="82"/>
        <v>450.77757861040732</v>
      </c>
      <c r="CT101" s="271">
        <f t="shared" si="82"/>
        <v>450.77757861040732</v>
      </c>
      <c r="CU101" s="271">
        <f t="shared" si="82"/>
        <v>450.77757861040732</v>
      </c>
      <c r="CV101" s="271">
        <f t="shared" si="82"/>
        <v>450.77757861040732</v>
      </c>
      <c r="CW101" s="271">
        <f t="shared" si="82"/>
        <v>410.20759653547071</v>
      </c>
      <c r="CX101" s="271">
        <f t="shared" si="82"/>
        <v>404.44243479042035</v>
      </c>
      <c r="CY101" s="271">
        <f t="shared" ref="CY101:DV101" si="83">+CY100*CY88</f>
        <v>404.44243479042035</v>
      </c>
      <c r="CZ101" s="271">
        <f t="shared" si="83"/>
        <v>404.44243479042035</v>
      </c>
      <c r="DA101" s="271">
        <f t="shared" si="83"/>
        <v>404.44243479042035</v>
      </c>
      <c r="DB101" s="271">
        <f t="shared" si="83"/>
        <v>368.04261565928255</v>
      </c>
      <c r="DC101" s="271">
        <f t="shared" si="83"/>
        <v>406.66602504334855</v>
      </c>
      <c r="DD101" s="271">
        <f t="shared" si="83"/>
        <v>406.66602504334855</v>
      </c>
      <c r="DE101" s="271">
        <f t="shared" si="83"/>
        <v>406.66602504334855</v>
      </c>
      <c r="DF101" s="271">
        <f t="shared" si="83"/>
        <v>406.66602504334855</v>
      </c>
      <c r="DG101" s="271">
        <f t="shared" si="83"/>
        <v>370.06608278944714</v>
      </c>
      <c r="DH101" s="271">
        <f t="shared" si="83"/>
        <v>416.39111974544625</v>
      </c>
      <c r="DI101" s="271">
        <f t="shared" si="83"/>
        <v>416.39111974544625</v>
      </c>
      <c r="DJ101" s="271">
        <f t="shared" si="83"/>
        <v>416.39111974544625</v>
      </c>
      <c r="DK101" s="271">
        <f t="shared" si="83"/>
        <v>416.39111974544619</v>
      </c>
      <c r="DL101" s="271">
        <f t="shared" si="83"/>
        <v>378.91591896835598</v>
      </c>
      <c r="DM101" s="271">
        <f t="shared" si="83"/>
        <v>400.86835078134362</v>
      </c>
      <c r="DN101" s="271">
        <f t="shared" si="83"/>
        <v>400.86835078134362</v>
      </c>
      <c r="DO101" s="271">
        <f t="shared" si="83"/>
        <v>400.86835078134362</v>
      </c>
      <c r="DP101" s="271">
        <f t="shared" si="83"/>
        <v>400.86835078134362</v>
      </c>
      <c r="DQ101" s="271">
        <f t="shared" si="83"/>
        <v>364.7901992110227</v>
      </c>
      <c r="DR101" s="271">
        <f t="shared" si="83"/>
        <v>411.28186827330336</v>
      </c>
      <c r="DS101" s="271">
        <f t="shared" si="83"/>
        <v>411.28186827330342</v>
      </c>
      <c r="DT101" s="271">
        <f t="shared" si="83"/>
        <v>411.28186827330336</v>
      </c>
      <c r="DU101" s="271">
        <f t="shared" si="83"/>
        <v>411.28186827330336</v>
      </c>
      <c r="DV101" s="271">
        <f t="shared" si="83"/>
        <v>374.26650012870607</v>
      </c>
      <c r="EA101" s="213"/>
      <c r="EF101" s="213"/>
    </row>
    <row r="102" spans="1:136" x14ac:dyDescent="0.3">
      <c r="H102" s="211"/>
      <c r="I102" s="58"/>
    </row>
    <row r="103" spans="1:136" x14ac:dyDescent="0.3">
      <c r="H103" s="211"/>
      <c r="I103" s="58"/>
    </row>
    <row r="105" spans="1:136" x14ac:dyDescent="0.3">
      <c r="I105" s="212"/>
    </row>
    <row r="106" spans="1:136" x14ac:dyDescent="0.3">
      <c r="I106" s="213"/>
      <c r="J106" s="213"/>
    </row>
  </sheetData>
  <sheetProtection algorithmName="SHA-512" hashValue="kBh4R3LzK7M+F0MG6GQWEXfrIk1pERSN2lUXAu8YvjbczyODO7/1Z6nhmh6Gtr8XtEO4j7ror4YBp+GIq3ASRA==" saltValue="JZmXZlP6qZpxNpBiyNbhow==" spinCount="100000" sheet="1"/>
  <mergeCells count="17">
    <mergeCell ref="BO29:DV29"/>
    <mergeCell ref="BO12:DV12"/>
    <mergeCell ref="BO13:DV13"/>
    <mergeCell ref="BO22:DV22"/>
    <mergeCell ref="BO23:DV23"/>
    <mergeCell ref="BO24:DV24"/>
    <mergeCell ref="D61:D68"/>
    <mergeCell ref="D81:D86"/>
    <mergeCell ref="D87:D92"/>
    <mergeCell ref="H5:J5"/>
    <mergeCell ref="D55:D60"/>
    <mergeCell ref="G12:BN12"/>
    <mergeCell ref="G13:BN13"/>
    <mergeCell ref="G22:BN22"/>
    <mergeCell ref="G23:BN23"/>
    <mergeCell ref="G24:BN24"/>
    <mergeCell ref="G29:BN29"/>
  </mergeCells>
  <dataValidations count="52">
    <dataValidation operator="greaterThanOrEqual" allowBlank="1" showInputMessage="1" showErrorMessage="1" errorTitle="Value not valid" error="Enter a dollar value greater than or equal to 0." prompt="Enter the Net amount of Risk Adj. as a dollar value." sqref="G97:DV97 G71:DV71"/>
    <dataValidation operator="greaterThanOrEqual" allowBlank="1" showInputMessage="1" showErrorMessage="1" errorTitle="Value not valid" error="Enter a dollar value greater than or equal to 0." prompt="Enter the Net amount of Rein as a dollar value." sqref="G70:DV70"/>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83:DV83">
      <formula1>0</formula1>
    </dataValidation>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57:DV57">
      <formula1>0</formula1>
    </dataValidation>
    <dataValidation type="list" operator="greaterThan" allowBlank="1" showInputMessage="1" showErrorMessage="1" errorTitle="Value not valid" error="Select a value from the list." promptTitle="Required:" prompt="Select the plan category for the designated plan." sqref="G17:DV17">
      <formula1>CategoryList</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65:DV65">
      <formula1>ISNUMBER(G$65)</formula1>
    </dataValidation>
    <dataValidation type="decimal" operator="greaterThanOrEqual" allowBlank="1" showInputMessage="1" showErrorMessage="1" errorTitle="Value not valid" error="Enter a dollar value greater than or equal to 0." promptTitle="Required if Member Months &gt; 0:" prompt="Enter the Plan Adjusted Index Rate as a dollar amount greater than or equal to 0." sqref="G81:DV81">
      <formula1>0</formula1>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allowed claims that are associated with EHB services in each plan during the experience period as a percentage greater than 0, with up to 2 decimal places." sqref="G88:DV88">
      <formula1>0</formula1>
    </dataValidation>
    <dataValidation type="decimal" operator="greaterThanOrEqual" allowBlank="1" showInputMessage="1" showErrorMessage="1" errorTitle="Value not valid" error="Enter a dollar value greater than or equal to 0." prompt="Enter a dollar value greater than or equal to 0." sqref="G66:DV66">
      <formula1>0</formula1>
    </dataValidation>
    <dataValidation type="decimal" allowBlank="1" showInputMessage="1" showErrorMessage="1" errorTitle="Value not valid" error="Enter a percentage greater than or equal to 0 and lesser than or equal to 1." prompt="Enter the percentage of the total premium for each plan that is associated with state mandated benefits that are not part of the EHB package as a percentage between 0 and 1, with up to two decimal points." sqref="G59:DV59">
      <formula1>0</formula1>
      <formula2>1</formula2>
    </dataValidation>
    <dataValidation type="decimal" allowBlank="1" showInputMessage="1" showErrorMessage="1" errorTitle="Value not valid" error="Enter a percentage greater than or equal to 0 and lesser than or equal to 1." prompt="Enter the percentage of the total premium that is associated with EHB services in the plan as a percentage between 0 and 1, with up to two decimal points." sqref="G58:DV58">
      <formula1>0</formula1>
      <formula2>1</formula2>
    </dataValidation>
    <dataValidation operator="greaterThanOrEqual" allowBlank="1" showInputMessage="1" showErrorMessage="1" errorTitle="Value not valid" error="Enter a dollar value greater than or equal to 0." prompt="Enter the Net amount of Rein as a dollar value. Enter 0 for plans effective on or after January 1, 2017." sqref="G96:DV96"/>
    <dataValidation type="decimal" operator="greaterThanOrEqual" allowBlank="1" showInputMessage="1" showErrorMessage="1" errorTitle="Value not valid" error="Enter a dollar value greater than or equal to 0." prompt="Enter the portion of the total dollars that are attributable to HHS during the experience period as a dollar value greater than or equal to 0." sqref="G92:DV92">
      <formula1>0</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91:DV91">
      <formula1>ISNUMBER(G$91)</formula1>
    </dataValidation>
    <dataValidation type="decimal" allowBlank="1" showInputMessage="1" showErrorMessage="1" errorTitle="Value not valid" error="Enter a percentage greater than or equal to 0 and lesser than or equal to 1." promptTitle="Required if Member Months &gt; 0:" prompt="Enter the percentage of the total allowed claims that are associated with EHB services in each plan during the experience period as a percentage between 0 and 1, with up to 2 decimal places." sqref="G89:DV89 G62:DV63">
      <formula1>0</formula1>
      <formula2>1</formula2>
    </dataValidation>
    <dataValidation type="decimal" operator="greaterThanOrEqual" allowBlank="1" showInputMessage="1" showErrorMessage="1" errorTitle="Value not valid" error="Enter a dollar value greater than or equal to 0." promptTitle="Required if Member Months &gt; 0:" prompt="Enter the total allowed claims for the benefit plan with service dates within the experience period as a dollar value greater than or equal to 0. " sqref="G87:DV87 G61:DV61">
      <formula1>0</formula1>
    </dataValidation>
    <dataValidation type="decimal" allowBlank="1" showInputMessage="1" showErrorMessage="1" errorTitle="Value not valid" error="Enter a percentage greater than or equal to 0 and lessser than or equal to 1." promptTitle="Required if Member Months &gt; 0:" prompt="Enter the percentage of the total premium for each plan that is associated with state mandated benefits that are not part of the EHB package as a percentage between 0 and 1, with up to two decimal points." sqref="G85:DV85">
      <formula1>0</formula1>
      <formula2>1</formula2>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premium that is associated with EHB services in the plan as a percentage greater than zero, with up to two decimal points." sqref="G84:DV84">
      <formula1>0</formula1>
    </dataValidation>
    <dataValidation type="decimal" allowBlank="1" showInputMessage="1" showErrorMessage="1" errorTitle="Value not valid" error="Enter a percentage with up to 2 decimal points." promptTitle="Required:" prompt="Enter the average change in premium rates over the twelve month period prior to the effective date for the plan as a percentage with up to 2 decimal points." sqref="G27:DV27">
      <formula1>-999</formula1>
      <formula2>2000</formula2>
    </dataValidation>
    <dataValidation type="whole" operator="greaterThanOrEqual" allowBlank="1" showInputMessage="1" showErrorMessage="1" errorTitle="Value not valid" error="Enter a whole number value greater than or equal to 0." prompt="Enter the total member months during the experience period (whole number value greater than or equal to 0)." sqref="G56:DV56">
      <formula1>0</formula1>
    </dataValidation>
    <dataValidation type="decimal" operator="greaterThanOrEqual" allowBlank="1" showInputMessage="1" showErrorMessage="1" errorTitle="Value not valid" error="Enter a dollar amount greater than or equal to 0." promptTitle="Required if Member Months &gt; 0:" prompt="Enter the Plan Adjusted Index Rate for each plan during the experience period as a dollar amount greater than or equal to 0." sqref="G55:DV55">
      <formula1>0</formula1>
    </dataValidation>
    <dataValidation type="whole" operator="greaterThanOrEqual" allowBlank="1" showInputMessage="1" showErrorMessage="1" errorTitle="Value not valid" error="Enter a whole number greater than or equal to 0" prompt="Enter the total projected member months.  (Enter a whole number greater than or equal to 0)" sqref="G48:DV48">
      <formula1>0</formula1>
    </dataValidation>
    <dataValidation type="decimal" operator="greaterThanOrEqual" allowBlank="1" showInputMessage="1" showErrorMessage="1" errorTitle="Value not valid" error="Enter a dollar value greater than or equal to 0." prompt="Enter the average premium rate on a per member basis for each plan for the most recently approved rates in dollars." sqref="G47:DV47">
      <formula1>0</formula1>
    </dataValidation>
    <dataValidation operator="greaterThanOrEqual" allowBlank="1" showInputMessage="1" showErrorMessage="1" errorTitle="Value not valid" error="Enter a valid dollar amount greater than or equal to 0." promptTitle="Required:" prompt="Enter the expected increase in the member’s cost sharing portion from the period underlying the current rate for the plan to the projected rating period of the plan in dollars." sqref="G44:DV44"/>
    <dataValidation operator="greaterThanOrEqual" allowBlank="1" showInputMessage="1" showErrorMessage="1" errorTitle="Value not valid" error="Enter a valid dollar amount greater than or equal to 0." promptTitle="Required:" prompt="Enter the portion of the increase in premium that corresponds to the taxes and fees incorporated in the premium rates for the plan in dollars. " sqref="G41:DV41"/>
    <dataValidation operator="greaterThanOrEqual" allowBlank="1" showInputMessage="1" showErrorMessage="1" errorTitle="Value not valid" error="Enter a valid dollar amount greater than or equal to 0." promptTitle="Required:" prompt="Enter the portion of the increase in premium that corresponds to administrative expenses incorporated in the premium rates for the plan in dollars. " sqref="G40:DV40"/>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under capitation for the plan in dollars." sqref="G39:DV39"/>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in the “other” benefit category for the plan in dollars. " sqref="G38:DV38"/>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escription drugs for the plan in dollars. " sqref="G37:DV37"/>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ofessional services for the plan in dollars. " sqref="G36:DV36"/>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outpatient services for the plan in dollars. " sqref="G35:DV35"/>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inpatient services for the plan in dollars. " sqref="G34:DV34"/>
    <dataValidation operator="greaterThanOrEqual" allowBlank="1" showInputMessage="1" showErrorMessage="1" errorTitle="Value not valid" error="Enter a valid dollar amount greater than or equal to 0." promptTitle="Required:" prompt="Enter the portion of the increase in the premium that corresponds to the risk and profit charges incorporated in the premium rates for the plan in dollars. " sqref="G42:DV42"/>
    <dataValidation type="decimal" allowBlank="1" showInputMessage="1" showErrorMessage="1" errorTitle="Value not valid" error="Enter a percentage value greater than or equal to 0 with up to 2 decimal points." promptTitle="Required:" prompt="Enter the average change in premium rates over the rates included in the prior filing for each plan as a percentage value up to 2 decimal points." sqref="G26:DV26">
      <formula1>-999</formula1>
      <formula2>2000</formula2>
    </dataValidation>
    <dataValidation type="textLength" operator="equal" allowBlank="1" showInputMessage="1" showErrorMessage="1" errorTitle="Value not valid" error="Enter alphanumeric value up to 14 characters." promptTitle="Required:" prompt="Enter a unique identifier (Plan ID) for this plan.  (Enter alphanumeric value up to 14 characters.)" sqref="G20:DV20">
      <formula1>14</formula1>
    </dataValidation>
    <dataValidation type="textLength" allowBlank="1" showInputMessage="1" showErrorMessage="1" errorTitle="Value not valid" error="Enter text up to 100 characters." promptTitle="Required:" prompt="Enter the marketing name (Plan Name) used when referring to the specific set of benefits and cost sharing values.  (Enter text up to 100 characters.)" sqref="G19:DV19">
      <formula1>1</formula1>
      <formula2>100</formula2>
    </dataValidation>
    <dataValidation type="decimal" operator="greaterThan" allowBlank="1" showInputMessage="1" showErrorMessage="1" errorTitle="Value not valid" error="Enter a decimal value with up to 3 decimal points." promptTitle="Required:" prompt="The amount paid by the health plan as a percentage of the allowed costs for a fixed reference plan.  (Enter a decimal value with up to 3 decimal points.)" sqref="G16:DV16">
      <formula1>0</formula1>
    </dataValidation>
    <dataValidation type="decimal" allowBlank="1" showInputMessage="1" showErrorMessage="1" errorTitle="Value not valid" error="Enter a decimal value less than 1 with up to 3 decimal points." promptTitle="Required:" prompt="The percentage paid by a health plan of the percentage of the total allowed costs of benefits.  (Enter a decimal value less than 1 with up to 3 decimal points.)" sqref="G15:DV15">
      <formula1>0</formula1>
      <formula2>1</formula2>
    </dataValidation>
    <dataValidation type="date" operator="greaterThan" allowBlank="1" showInputMessage="1" showErrorMessage="1" errorTitle="Value not valid." error="Effective Date is a required field." promptTitle="Required:" prompt="Enter the effective date of the proposed rate change being submitted." sqref="G25:DV25">
      <formula1>40179</formula1>
    </dataValidation>
    <dataValidation type="list" allowBlank="1" showInputMessage="1" showErrorMessage="1" errorTitle="Value not valid" error="Select a value from the list." promptTitle="Required:" prompt="Select yes or no to indicate whether the plan will be offered inside a State-based or Federally Facilitated Exchange or SHOP, regardless of whether it will also be offered in the outside market." sqref="G21:DV21">
      <formula1>"Yes,No"</formula1>
    </dataValidation>
    <dataValidation type="list" allowBlank="1" showInputMessage="1" showErrorMessage="1" errorTitle="Value not valid" error="Select a value from the list." promptTitle="Required:" prompt="Select plan type from list to represent the specific set of benefits and cost sharing values within a product that produce an actuarial value equal to one of the metal levels permitted under the ACA." sqref="G18:DV18">
      <formula1>"HMO, PPO, Indemnity, EPO, POS"</formula1>
    </dataValidation>
    <dataValidation type="list" allowBlank="1" showInputMessage="1" showErrorMessage="1" errorTitle="Value not valid" error="Select a value from the list." promptTitle="Required:" prompt="Select the metal level for the designated plan." sqref="G14:DV14">
      <formula1>"Platinum, Gold, Silver, Bronze, Catastrophic, Not Applicable"</formula1>
    </dataValidation>
    <dataValidation type="textLength" allowBlank="1" showInputMessage="1" showErrorMessage="1" errorTitle="Value not valid" error="Enter text up to 100 characters." promptTitle="Required:" prompt="A package of health insurance coverage benefits with a discrete set of rating and pricing methodologies that an issuer offers in a state, for which a rate increase is being requested.  (Enter text up to 100 characters.)" sqref="G12:BN12">
      <formula1>0</formula1>
      <formula2>100</formula2>
    </dataValidation>
    <dataValidation type="textLength" allowBlank="1" showInputMessage="1" showErrorMessage="1" errorTitle="Value not valid" error="Enter 10 digit string (5-digit Issuer ID + 2-letter State Abbr + 3-digits)" promptTitle="Required:" prompt="Enter Valid Product ID.  Enter 10 digit string (5-digit Issuer ID + 2-letter State Abbr + 3-digits)" sqref="G13:BN13">
      <formula1>10</formula1>
      <formula2>10</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3 years prior to the effective year as a percentage value between -100% and 100% with up to 2 decimal points." sqref="G22:BN22">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2 years prior to the effective year as a percentage value between -100% and 100% with up to 2 decimal points." sqref="G23:BN23">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prior to the effective year as a percentage value between -100% and 100% with up to 2 decimal points." sqref="G24:BN24">
      <formula1>-1</formula1>
      <formula2>1</formula2>
    </dataValidation>
    <dataValidation type="textLength" allowBlank="1" showInputMessage="1" showErrorMessage="1" errorTitle="Value not valid" error="Enter text up to 100 characters." promptTitle="Required:" prompt="A package of health insurance coverage benefits with a discrete set of rating and pricing methodologies that an issuer offers in a state, for which a rate increase is being requested.  (Enter text up to 100 characters.)" sqref="BO12:DV12">
      <formula1>0</formula1>
      <formula2>100</formula2>
    </dataValidation>
    <dataValidation type="textLength" allowBlank="1" showInputMessage="1" showErrorMessage="1" errorTitle="Value not valid" error="Enter 10 digit string (5-digit Issuer ID + 2-letter State Abbr + 3-digits)" promptTitle="Required:" prompt="Enter Valid Product ID.  Enter 10 digit string (5-digit Issuer ID + 2-letter State Abbr + 3-digits)" sqref="BO13:DV13">
      <formula1>10</formula1>
      <formula2>10</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3 years prior to the effective year as a percentage value between -100% and 100% with up to 2 decimal points." sqref="BO22:DV22">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2 years prior to the effective year as a percentage value between -100% and 100% with up to 2 decimal points." sqref="BO23:DV23">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prior to the effective year as a percentage value between -100% and 100% with up to 2 decimal points." sqref="BO24:DV24">
      <formula1>-1</formula1>
      <formula2>1</formula2>
    </dataValidation>
  </dataValidations>
  <pageMargins left="0.7" right="0.7" top="0.75" bottom="0.75" header="0.3" footer="0.3"/>
  <pageSetup scale="41"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4</xdr:col>
                    <xdr:colOff>3009900</xdr:colOff>
                    <xdr:row>75</xdr:row>
                    <xdr:rowOff>114300</xdr:rowOff>
                  </from>
                  <to>
                    <xdr:col>6</xdr:col>
                    <xdr:colOff>38100</xdr:colOff>
                    <xdr:row>77</xdr:row>
                    <xdr:rowOff>68580</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121920</xdr:colOff>
                    <xdr:row>75</xdr:row>
                    <xdr:rowOff>114300</xdr:rowOff>
                  </from>
                  <to>
                    <xdr:col>8</xdr:col>
                    <xdr:colOff>76200</xdr:colOff>
                    <xdr:row>78</xdr:row>
                    <xdr:rowOff>45720</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137160</xdr:colOff>
                    <xdr:row>75</xdr:row>
                    <xdr:rowOff>114300</xdr:rowOff>
                  </from>
                  <to>
                    <xdr:col>9</xdr:col>
                    <xdr:colOff>99060</xdr:colOff>
                    <xdr:row>78</xdr:row>
                    <xdr:rowOff>45720</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99060</xdr:colOff>
                    <xdr:row>75</xdr:row>
                    <xdr:rowOff>114300</xdr:rowOff>
                  </from>
                  <to>
                    <xdr:col>7</xdr:col>
                    <xdr:colOff>60960</xdr:colOff>
                    <xdr:row>77</xdr:row>
                    <xdr:rowOff>68580</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15</xdr:col>
                    <xdr:colOff>53340</xdr:colOff>
                    <xdr:row>0</xdr:row>
                    <xdr:rowOff>0</xdr:rowOff>
                  </from>
                  <to>
                    <xdr:col>16</xdr:col>
                    <xdr:colOff>7620</xdr:colOff>
                    <xdr:row>1</xdr:row>
                    <xdr:rowOff>22860</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160020</xdr:colOff>
                    <xdr:row>2</xdr:row>
                    <xdr:rowOff>228600</xdr:rowOff>
                  </from>
                  <to>
                    <xdr:col>10</xdr:col>
                    <xdr:colOff>114300</xdr:colOff>
                    <xdr:row>4</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Z121"/>
  <sheetViews>
    <sheetView showGridLines="0" topLeftCell="A25" zoomScaleNormal="100" workbookViewId="0">
      <selection activeCell="I81" sqref="I81"/>
    </sheetView>
  </sheetViews>
  <sheetFormatPr defaultRowHeight="14.4" x14ac:dyDescent="0.3"/>
  <cols>
    <col min="1" max="1" width="13.44140625" bestFit="1" customWidth="1"/>
    <col min="2" max="2" width="12.88671875" bestFit="1" customWidth="1"/>
    <col min="3" max="3" width="4" customWidth="1"/>
    <col min="4" max="4" width="2.6640625" customWidth="1"/>
    <col min="5" max="5" width="43.88671875" customWidth="1"/>
    <col min="6" max="6" width="14.5546875" customWidth="1"/>
    <col min="7" max="7" width="15" customWidth="1"/>
    <col min="8" max="8" width="12.109375" customWidth="1"/>
    <col min="9" max="9" width="14.88671875" bestFit="1" customWidth="1"/>
    <col min="10" max="10" width="14.33203125" bestFit="1" customWidth="1"/>
    <col min="11" max="11" width="13.5546875" customWidth="1"/>
    <col min="12" max="12" width="12.5546875" customWidth="1"/>
    <col min="13" max="13" width="13.5546875" customWidth="1"/>
    <col min="14" max="14" width="14.33203125" bestFit="1" customWidth="1"/>
    <col min="15" max="15" width="14.33203125" customWidth="1"/>
    <col min="16" max="16" width="13.109375" customWidth="1"/>
    <col min="17" max="17" width="13.33203125" bestFit="1" customWidth="1"/>
    <col min="18" max="18" width="11.5546875" bestFit="1" customWidth="1"/>
    <col min="19" max="19" width="13.33203125" bestFit="1" customWidth="1"/>
    <col min="20" max="20" width="11.5546875" bestFit="1" customWidth="1"/>
    <col min="21" max="21" width="11.5546875" customWidth="1"/>
    <col min="22" max="22" width="11.5546875" bestFit="1" customWidth="1"/>
    <col min="23" max="24" width="13.33203125" bestFit="1" customWidth="1"/>
    <col min="25" max="25" width="13.88671875" customWidth="1"/>
    <col min="26" max="26" width="15.33203125" customWidth="1"/>
    <col min="27" max="27" width="13.88671875" customWidth="1"/>
  </cols>
  <sheetData>
    <row r="1" spans="1:26" ht="18" x14ac:dyDescent="0.35">
      <c r="E1" s="20" t="s">
        <v>24</v>
      </c>
      <c r="F1" s="20"/>
      <c r="G1" s="3"/>
      <c r="H1" s="3"/>
      <c r="I1" s="3"/>
      <c r="J1" s="3"/>
      <c r="K1" s="4"/>
      <c r="L1" s="1"/>
      <c r="M1" s="1"/>
      <c r="N1" s="1"/>
      <c r="O1" s="1"/>
      <c r="P1" s="1"/>
      <c r="Q1" s="1"/>
      <c r="R1" s="1"/>
      <c r="S1" s="1"/>
      <c r="T1" s="1"/>
      <c r="U1" s="1"/>
      <c r="V1" s="1"/>
      <c r="W1" s="1"/>
      <c r="X1" s="1"/>
    </row>
    <row r="2" spans="1:26" ht="18" x14ac:dyDescent="0.35">
      <c r="E2" s="3"/>
      <c r="F2" s="3"/>
      <c r="G2" s="3"/>
      <c r="H2" s="3"/>
      <c r="I2" s="3"/>
      <c r="J2" s="3"/>
      <c r="K2" s="4"/>
      <c r="L2" s="1"/>
      <c r="M2" s="1"/>
      <c r="N2" s="1"/>
      <c r="O2" s="1"/>
      <c r="P2" s="1"/>
      <c r="Q2" s="1"/>
      <c r="R2" s="1"/>
      <c r="S2" s="1"/>
      <c r="T2" s="1"/>
      <c r="U2" s="1"/>
      <c r="V2" s="1"/>
      <c r="W2" s="1"/>
      <c r="X2" s="1"/>
    </row>
    <row r="3" spans="1:26" ht="18" x14ac:dyDescent="0.35">
      <c r="E3" s="10" t="s">
        <v>9</v>
      </c>
      <c r="F3" s="10"/>
      <c r="G3" s="3"/>
      <c r="H3" s="3"/>
      <c r="I3" s="30" t="str">
        <f>'Wksh 1 - Market Experience'!E3</f>
        <v>Kaiser Foundation Health Plan of Colorado</v>
      </c>
      <c r="J3" s="30"/>
      <c r="K3" s="31"/>
      <c r="L3" s="31"/>
      <c r="M3" s="31"/>
      <c r="N3" s="1"/>
      <c r="O3" s="1"/>
      <c r="P3" s="10" t="s">
        <v>15</v>
      </c>
      <c r="Q3" s="29" t="str">
        <f>'Wksh 1 - Market Experience'!H3</f>
        <v>CO</v>
      </c>
      <c r="R3" s="1"/>
      <c r="S3" s="1"/>
      <c r="T3" s="1"/>
      <c r="U3" s="1"/>
      <c r="V3" s="1"/>
      <c r="W3" s="1"/>
      <c r="X3" s="1"/>
    </row>
    <row r="4" spans="1:26" ht="18" x14ac:dyDescent="0.35">
      <c r="E4" s="11" t="s">
        <v>10</v>
      </c>
      <c r="F4" s="11"/>
      <c r="G4" s="3"/>
      <c r="H4" s="3"/>
      <c r="I4" s="218" t="str">
        <f>'Wksh 1 - Market Experience'!E4</f>
        <v>21032</v>
      </c>
      <c r="J4" s="30"/>
      <c r="K4" s="31"/>
      <c r="L4" s="31"/>
      <c r="M4" s="24"/>
      <c r="N4" s="1"/>
      <c r="O4" s="1"/>
      <c r="P4" s="10" t="s">
        <v>17</v>
      </c>
      <c r="Q4" s="3" t="str">
        <f>'Wksh 1 - Market Experience'!H4</f>
        <v>Individual</v>
      </c>
      <c r="R4" s="1"/>
      <c r="S4" s="1"/>
      <c r="T4" s="1"/>
      <c r="U4" s="1"/>
      <c r="V4" s="1"/>
      <c r="W4" s="1"/>
      <c r="X4" s="1"/>
    </row>
    <row r="5" spans="1:26" ht="18" x14ac:dyDescent="0.35">
      <c r="E5" s="10" t="s">
        <v>25</v>
      </c>
      <c r="F5" s="10"/>
      <c r="G5" s="3"/>
      <c r="H5" s="3"/>
      <c r="I5" s="393">
        <f>'Wksh 1 - Market Experience'!E5</f>
        <v>43101</v>
      </c>
      <c r="J5" s="393"/>
      <c r="K5" s="394"/>
      <c r="L5" s="1"/>
      <c r="M5" s="1"/>
      <c r="N5" s="1"/>
      <c r="O5" s="1"/>
      <c r="P5" s="1"/>
      <c r="Q5" s="1"/>
      <c r="R5" s="1"/>
      <c r="S5" s="1"/>
      <c r="T5" s="1"/>
      <c r="U5" s="1"/>
      <c r="V5" s="1"/>
      <c r="W5" s="1"/>
      <c r="X5" s="1"/>
    </row>
    <row r="6" spans="1:26" x14ac:dyDescent="0.3">
      <c r="E6" s="1"/>
      <c r="F6" s="1"/>
      <c r="G6" s="1"/>
      <c r="H6" s="1"/>
      <c r="I6" s="1"/>
      <c r="J6" s="1"/>
      <c r="K6" s="2"/>
      <c r="L6" s="1"/>
      <c r="M6" s="1"/>
      <c r="N6" s="1"/>
      <c r="O6" s="1"/>
      <c r="P6" s="1"/>
      <c r="Q6" s="1"/>
      <c r="R6" s="1"/>
      <c r="S6" s="1"/>
      <c r="T6" s="1"/>
      <c r="U6" s="1"/>
      <c r="V6" s="1"/>
      <c r="W6" s="1"/>
      <c r="X6" s="1"/>
    </row>
    <row r="7" spans="1:26" x14ac:dyDescent="0.3">
      <c r="E7" s="1"/>
      <c r="F7" s="1"/>
      <c r="G7" s="1"/>
      <c r="H7" s="1"/>
      <c r="I7" s="1"/>
      <c r="J7" s="1"/>
      <c r="K7" s="2"/>
      <c r="L7" s="1"/>
      <c r="M7" s="1"/>
      <c r="N7" s="1"/>
      <c r="O7" s="1"/>
      <c r="P7" s="1"/>
      <c r="Q7" s="1"/>
      <c r="R7" s="1"/>
      <c r="S7" s="1"/>
      <c r="T7" s="1"/>
      <c r="U7" s="1"/>
      <c r="V7" s="1"/>
      <c r="W7" s="1"/>
      <c r="X7" s="1"/>
    </row>
    <row r="8" spans="1:26" x14ac:dyDescent="0.3">
      <c r="E8" s="19" t="s">
        <v>26</v>
      </c>
      <c r="F8" s="36"/>
      <c r="G8" s="12"/>
      <c r="H8" s="12"/>
      <c r="I8" s="12"/>
      <c r="J8" s="12"/>
      <c r="K8" s="13"/>
      <c r="L8" s="12"/>
      <c r="M8" s="12"/>
      <c r="N8" s="12"/>
      <c r="O8" s="12"/>
      <c r="P8" s="12"/>
      <c r="Q8" s="12"/>
      <c r="R8" s="12"/>
      <c r="S8" s="12"/>
      <c r="T8" s="12"/>
      <c r="U8" s="12"/>
      <c r="V8" s="12"/>
      <c r="W8" s="12"/>
      <c r="X8" s="12"/>
      <c r="Y8" s="14"/>
    </row>
    <row r="9" spans="1:26" x14ac:dyDescent="0.3">
      <c r="E9" s="15"/>
      <c r="F9" s="16"/>
      <c r="G9" s="16"/>
      <c r="H9" s="16"/>
      <c r="I9" s="16"/>
      <c r="J9" s="16"/>
      <c r="K9" s="17"/>
      <c r="L9" s="16"/>
      <c r="M9" s="16"/>
      <c r="N9" s="16"/>
      <c r="O9" s="16"/>
      <c r="P9" s="16"/>
      <c r="Q9" s="16"/>
      <c r="R9" s="16"/>
      <c r="S9" s="16"/>
      <c r="T9" s="16"/>
      <c r="U9" s="16"/>
      <c r="V9" s="16"/>
      <c r="W9" s="16"/>
      <c r="X9" s="16"/>
      <c r="Y9" s="18"/>
    </row>
    <row r="10" spans="1:26" x14ac:dyDescent="0.3">
      <c r="E10" s="5"/>
      <c r="F10" s="5"/>
      <c r="G10" s="5"/>
      <c r="H10" s="5"/>
      <c r="I10" s="5"/>
      <c r="J10" s="5"/>
      <c r="K10" s="8"/>
      <c r="L10" s="5"/>
      <c r="M10" s="5"/>
      <c r="N10" s="5"/>
      <c r="O10" s="5"/>
      <c r="P10" s="5"/>
      <c r="Q10" s="5"/>
      <c r="R10" s="5"/>
      <c r="S10" s="5"/>
      <c r="T10" s="5"/>
      <c r="U10" s="5"/>
      <c r="V10" s="5"/>
      <c r="W10" s="5"/>
      <c r="X10" s="5"/>
      <c r="Y10" s="5"/>
      <c r="Z10" s="7"/>
    </row>
    <row r="11" spans="1:26" x14ac:dyDescent="0.3">
      <c r="E11" s="27" t="s">
        <v>40</v>
      </c>
      <c r="F11" s="27"/>
      <c r="G11" s="25"/>
      <c r="H11" s="25"/>
      <c r="I11" s="25"/>
      <c r="J11" s="25"/>
      <c r="K11" s="26"/>
      <c r="L11" s="25"/>
      <c r="M11" s="25"/>
      <c r="N11" s="25"/>
      <c r="O11" s="25"/>
      <c r="P11" s="25"/>
      <c r="Q11" s="25"/>
      <c r="R11" s="25"/>
      <c r="S11" s="25"/>
      <c r="T11" s="25"/>
      <c r="U11" s="25"/>
      <c r="V11" s="25"/>
      <c r="W11" s="25"/>
      <c r="X11" s="21"/>
    </row>
    <row r="12" spans="1:26" ht="15" x14ac:dyDescent="0.3">
      <c r="A12" s="276"/>
      <c r="B12" s="289"/>
      <c r="C12" s="289"/>
      <c r="D12" s="289"/>
      <c r="E12" s="290" t="s">
        <v>2</v>
      </c>
      <c r="F12" s="291"/>
      <c r="G12" s="338"/>
      <c r="J12" s="276" t="s">
        <v>161</v>
      </c>
      <c r="K12" s="246" t="s">
        <v>162</v>
      </c>
      <c r="L12" s="246" t="s">
        <v>162</v>
      </c>
      <c r="M12" s="246" t="s">
        <v>159</v>
      </c>
      <c r="N12" s="215" t="s">
        <v>107</v>
      </c>
      <c r="O12" s="246" t="s">
        <v>191</v>
      </c>
    </row>
    <row r="13" spans="1:26" ht="15" x14ac:dyDescent="0.3">
      <c r="A13" s="276"/>
      <c r="B13" s="289"/>
      <c r="C13" s="289"/>
      <c r="D13" s="289"/>
      <c r="E13" s="290" t="s">
        <v>27</v>
      </c>
      <c r="F13" s="295"/>
      <c r="G13" s="339"/>
      <c r="J13" s="276" t="s">
        <v>162</v>
      </c>
      <c r="K13" s="246" t="s">
        <v>163</v>
      </c>
      <c r="L13" s="246" t="s">
        <v>163</v>
      </c>
      <c r="M13" s="246" t="s">
        <v>160</v>
      </c>
      <c r="N13" s="215" t="s">
        <v>108</v>
      </c>
      <c r="O13" s="246" t="s">
        <v>192</v>
      </c>
    </row>
    <row r="14" spans="1:26" ht="15" x14ac:dyDescent="0.3">
      <c r="A14" s="276"/>
      <c r="B14" s="289"/>
      <c r="C14" s="289"/>
      <c r="D14" s="289"/>
      <c r="E14" s="290" t="s">
        <v>11</v>
      </c>
      <c r="F14" s="291"/>
      <c r="G14" s="44"/>
      <c r="J14" s="276" t="s">
        <v>163</v>
      </c>
      <c r="K14" s="246" t="s">
        <v>164</v>
      </c>
      <c r="L14" s="246" t="s">
        <v>32</v>
      </c>
      <c r="M14" s="246" t="s">
        <v>162</v>
      </c>
      <c r="N14" s="215" t="s">
        <v>109</v>
      </c>
      <c r="O14" s="246" t="s">
        <v>193</v>
      </c>
    </row>
    <row r="15" spans="1:26" ht="15" x14ac:dyDescent="0.3">
      <c r="A15" s="276"/>
      <c r="B15" s="289"/>
      <c r="C15" s="289"/>
      <c r="D15" s="289"/>
      <c r="E15" s="290" t="s">
        <v>106</v>
      </c>
      <c r="F15" s="292"/>
      <c r="G15" s="332"/>
      <c r="J15" s="276" t="s">
        <v>32</v>
      </c>
      <c r="K15" s="246" t="s">
        <v>32</v>
      </c>
      <c r="M15" s="246" t="s">
        <v>163</v>
      </c>
      <c r="N15" s="215" t="s">
        <v>110</v>
      </c>
      <c r="O15" s="276"/>
    </row>
    <row r="16" spans="1:26" ht="15" x14ac:dyDescent="0.3">
      <c r="A16" s="276"/>
      <c r="B16" s="289"/>
      <c r="C16" s="289"/>
      <c r="D16" s="289"/>
      <c r="E16" s="290" t="s">
        <v>105</v>
      </c>
      <c r="F16" s="292"/>
      <c r="G16" s="332"/>
      <c r="M16" s="246" t="s">
        <v>32</v>
      </c>
      <c r="N16" s="215" t="s">
        <v>111</v>
      </c>
      <c r="O16" s="276"/>
    </row>
    <row r="17" spans="1:15" s="276" customFormat="1" ht="15" x14ac:dyDescent="0.3">
      <c r="B17" s="289"/>
      <c r="C17" s="289"/>
      <c r="D17" s="289"/>
      <c r="E17" s="290" t="s">
        <v>190</v>
      </c>
      <c r="F17" s="292"/>
      <c r="G17" s="332"/>
      <c r="M17" s="246"/>
      <c r="N17" s="215" t="s">
        <v>112</v>
      </c>
    </row>
    <row r="18" spans="1:15" ht="15" x14ac:dyDescent="0.3">
      <c r="A18" s="276"/>
      <c r="B18" s="289"/>
      <c r="C18" s="289"/>
      <c r="D18" s="289"/>
      <c r="E18" s="290" t="s">
        <v>13</v>
      </c>
      <c r="F18" s="292"/>
      <c r="G18" s="287"/>
      <c r="N18" s="215" t="s">
        <v>113</v>
      </c>
      <c r="O18" s="276"/>
    </row>
    <row r="19" spans="1:15" ht="15" x14ac:dyDescent="0.3">
      <c r="A19" s="276"/>
      <c r="B19" s="289"/>
      <c r="C19" s="289"/>
      <c r="D19" s="289"/>
      <c r="E19" s="293" t="s">
        <v>18</v>
      </c>
      <c r="F19" s="294"/>
      <c r="G19" s="287"/>
      <c r="N19" s="215" t="s">
        <v>114</v>
      </c>
      <c r="O19" s="276"/>
    </row>
    <row r="20" spans="1:15" ht="15" x14ac:dyDescent="0.3">
      <c r="A20" s="276"/>
      <c r="B20" s="289"/>
      <c r="C20" s="289"/>
      <c r="D20" s="289"/>
      <c r="E20" s="290" t="s">
        <v>12</v>
      </c>
      <c r="F20" s="290"/>
      <c r="G20" s="361"/>
      <c r="N20" s="216" t="s">
        <v>115</v>
      </c>
      <c r="O20" s="276"/>
    </row>
    <row r="21" spans="1:15" ht="15" x14ac:dyDescent="0.3">
      <c r="A21" s="276"/>
      <c r="B21" s="289"/>
      <c r="C21" s="289"/>
      <c r="D21" s="289"/>
      <c r="E21" s="290" t="s">
        <v>28</v>
      </c>
      <c r="F21" s="295"/>
      <c r="G21" s="288"/>
      <c r="N21" s="215" t="s">
        <v>116</v>
      </c>
      <c r="O21" s="276"/>
    </row>
    <row r="22" spans="1:15" ht="15" x14ac:dyDescent="0.3">
      <c r="A22" s="276"/>
      <c r="B22" s="289"/>
      <c r="C22" s="289"/>
      <c r="D22" s="289"/>
      <c r="E22" s="277" t="s">
        <v>176</v>
      </c>
      <c r="F22" s="295"/>
      <c r="G22" s="360"/>
      <c r="N22" s="215" t="s">
        <v>117</v>
      </c>
      <c r="O22" s="276"/>
    </row>
    <row r="23" spans="1:15" ht="15" x14ac:dyDescent="0.3">
      <c r="A23" s="276"/>
      <c r="B23" s="289"/>
      <c r="C23" s="289"/>
      <c r="D23" s="289"/>
      <c r="E23" s="277" t="s">
        <v>177</v>
      </c>
      <c r="F23" s="295"/>
      <c r="G23" s="360"/>
      <c r="N23" s="215" t="s">
        <v>118</v>
      </c>
      <c r="O23" s="276"/>
    </row>
    <row r="24" spans="1:15" ht="15" x14ac:dyDescent="0.3">
      <c r="A24" s="276"/>
      <c r="B24" s="289"/>
      <c r="C24" s="289"/>
      <c r="D24" s="289"/>
      <c r="E24" s="277" t="s">
        <v>175</v>
      </c>
      <c r="F24" s="295"/>
      <c r="G24" s="360"/>
      <c r="N24" s="215" t="s">
        <v>119</v>
      </c>
      <c r="O24" s="276"/>
    </row>
    <row r="25" spans="1:15" ht="15" x14ac:dyDescent="0.3">
      <c r="A25" s="276"/>
      <c r="B25" s="289"/>
      <c r="C25" s="289"/>
      <c r="D25" s="289"/>
      <c r="E25" s="290" t="s">
        <v>91</v>
      </c>
      <c r="F25" s="295"/>
      <c r="G25" s="329"/>
      <c r="N25" s="215" t="s">
        <v>120</v>
      </c>
      <c r="O25" s="276"/>
    </row>
    <row r="26" spans="1:15" ht="15" x14ac:dyDescent="0.3">
      <c r="A26" s="276"/>
      <c r="B26" s="289"/>
      <c r="C26" s="289"/>
      <c r="D26" s="289"/>
      <c r="E26" s="296" t="s">
        <v>81</v>
      </c>
      <c r="F26" s="297"/>
      <c r="G26" s="336"/>
      <c r="N26" s="215" t="s">
        <v>121</v>
      </c>
      <c r="O26" s="276"/>
    </row>
    <row r="27" spans="1:15" ht="15" x14ac:dyDescent="0.3">
      <c r="A27" s="276"/>
      <c r="B27" s="289"/>
      <c r="C27" s="289"/>
      <c r="D27" s="289"/>
      <c r="E27" s="298" t="s">
        <v>82</v>
      </c>
      <c r="F27" s="299"/>
      <c r="G27" s="336"/>
      <c r="J27" s="250"/>
      <c r="N27" s="215" t="s">
        <v>122</v>
      </c>
      <c r="O27" s="276"/>
    </row>
    <row r="28" spans="1:15" ht="15" x14ac:dyDescent="0.3">
      <c r="A28" s="276"/>
      <c r="B28" s="289"/>
      <c r="C28" s="289"/>
      <c r="D28" s="289"/>
      <c r="E28" s="298" t="s">
        <v>83</v>
      </c>
      <c r="F28" s="299"/>
      <c r="G28" s="337" t="e">
        <f>+G81/G55-1</f>
        <v>#DIV/0!</v>
      </c>
      <c r="L28" s="250"/>
      <c r="M28" s="250"/>
      <c r="N28" s="215" t="s">
        <v>123</v>
      </c>
      <c r="O28" s="276"/>
    </row>
    <row r="29" spans="1:15" ht="15" customHeight="1" x14ac:dyDescent="0.3">
      <c r="A29" s="276"/>
      <c r="B29" s="289"/>
      <c r="C29" s="289"/>
      <c r="D29" s="289"/>
      <c r="E29" s="283" t="s">
        <v>194</v>
      </c>
      <c r="F29" s="283"/>
      <c r="G29" s="359"/>
      <c r="I29" s="250"/>
      <c r="N29" s="215" t="s">
        <v>124</v>
      </c>
      <c r="O29" s="276"/>
    </row>
    <row r="30" spans="1:15" s="250" customFormat="1" ht="15" x14ac:dyDescent="0.3">
      <c r="A30" s="276"/>
      <c r="B30" s="289"/>
      <c r="C30" s="289"/>
      <c r="D30" s="289"/>
      <c r="E30" s="327"/>
      <c r="F30" s="289"/>
      <c r="G30" s="330"/>
      <c r="I30"/>
      <c r="J30"/>
      <c r="L30"/>
      <c r="M30"/>
      <c r="N30" s="215" t="s">
        <v>125</v>
      </c>
      <c r="O30" s="276"/>
    </row>
    <row r="31" spans="1:15" ht="15" x14ac:dyDescent="0.3">
      <c r="A31" s="276"/>
      <c r="B31" s="289"/>
      <c r="C31" s="289"/>
      <c r="D31" s="289"/>
      <c r="E31" s="300" t="s">
        <v>42</v>
      </c>
      <c r="F31" s="300"/>
      <c r="G31" s="276"/>
      <c r="N31" s="215" t="s">
        <v>126</v>
      </c>
      <c r="O31" s="276"/>
    </row>
    <row r="32" spans="1:15" ht="15" x14ac:dyDescent="0.3">
      <c r="A32" s="276"/>
      <c r="B32" s="289"/>
      <c r="C32" s="289"/>
      <c r="D32" s="289"/>
      <c r="E32" s="300"/>
      <c r="F32" s="300"/>
      <c r="G32" s="276"/>
      <c r="N32" s="215" t="s">
        <v>127</v>
      </c>
      <c r="O32" s="276"/>
    </row>
    <row r="33" spans="1:15" ht="15" x14ac:dyDescent="0.3">
      <c r="A33" s="276"/>
      <c r="B33" s="289"/>
      <c r="C33" s="289"/>
      <c r="D33" s="289"/>
      <c r="E33" s="283" t="s">
        <v>12</v>
      </c>
      <c r="F33" s="301" t="s">
        <v>3</v>
      </c>
      <c r="G33" s="284">
        <f>G20</f>
        <v>0</v>
      </c>
      <c r="N33" s="215" t="s">
        <v>128</v>
      </c>
      <c r="O33" s="276"/>
    </row>
    <row r="34" spans="1:15" ht="15" x14ac:dyDescent="0.3">
      <c r="A34" s="276"/>
      <c r="B34" s="302"/>
      <c r="C34" s="289"/>
      <c r="D34" s="289"/>
      <c r="E34" s="303" t="s">
        <v>29</v>
      </c>
      <c r="F34" s="268" t="e">
        <f t="shared" ref="F34:F44" si="0">SUMPRODUCT(G34:X34,$G$56:$X$56)/$F$56</f>
        <v>#DIV/0!</v>
      </c>
      <c r="G34" s="369"/>
      <c r="N34" s="215" t="s">
        <v>129</v>
      </c>
      <c r="O34" s="276"/>
    </row>
    <row r="35" spans="1:15" ht="15" x14ac:dyDescent="0.3">
      <c r="A35" s="276"/>
      <c r="B35" s="302"/>
      <c r="C35" s="289"/>
      <c r="D35" s="289"/>
      <c r="E35" s="303" t="s">
        <v>30</v>
      </c>
      <c r="F35" s="268" t="e">
        <f t="shared" si="0"/>
        <v>#DIV/0!</v>
      </c>
      <c r="G35" s="369"/>
      <c r="N35" s="215" t="s">
        <v>130</v>
      </c>
      <c r="O35" s="276"/>
    </row>
    <row r="36" spans="1:15" ht="15" x14ac:dyDescent="0.3">
      <c r="A36" s="276"/>
      <c r="B36" s="302"/>
      <c r="C36" s="289"/>
      <c r="D36" s="289"/>
      <c r="E36" s="292" t="s">
        <v>0</v>
      </c>
      <c r="F36" s="268" t="e">
        <f t="shared" si="0"/>
        <v>#DIV/0!</v>
      </c>
      <c r="G36" s="369"/>
      <c r="N36" s="215" t="s">
        <v>131</v>
      </c>
      <c r="O36" s="276"/>
    </row>
    <row r="37" spans="1:15" ht="15" x14ac:dyDescent="0.3">
      <c r="A37" s="276"/>
      <c r="B37" s="302"/>
      <c r="C37" s="289"/>
      <c r="D37" s="289"/>
      <c r="E37" s="304" t="s">
        <v>31</v>
      </c>
      <c r="F37" s="268" t="e">
        <f t="shared" si="0"/>
        <v>#DIV/0!</v>
      </c>
      <c r="G37" s="369"/>
      <c r="N37" s="215" t="s">
        <v>132</v>
      </c>
      <c r="O37" s="276"/>
    </row>
    <row r="38" spans="1:15" ht="15" x14ac:dyDescent="0.3">
      <c r="A38" s="276"/>
      <c r="B38" s="302"/>
      <c r="C38" s="289"/>
      <c r="D38" s="289"/>
      <c r="E38" s="292" t="s">
        <v>32</v>
      </c>
      <c r="F38" s="268" t="e">
        <f t="shared" si="0"/>
        <v>#DIV/0!</v>
      </c>
      <c r="G38" s="369"/>
      <c r="N38" s="215" t="s">
        <v>133</v>
      </c>
      <c r="O38" s="276"/>
    </row>
    <row r="39" spans="1:15" ht="15" x14ac:dyDescent="0.3">
      <c r="A39" s="276"/>
      <c r="B39" s="302"/>
      <c r="C39" s="289"/>
      <c r="D39" s="289"/>
      <c r="E39" s="304" t="s">
        <v>1</v>
      </c>
      <c r="F39" s="268" t="e">
        <f t="shared" si="0"/>
        <v>#DIV/0!</v>
      </c>
      <c r="G39" s="369"/>
      <c r="N39" s="215" t="s">
        <v>134</v>
      </c>
      <c r="O39" s="276"/>
    </row>
    <row r="40" spans="1:15" ht="15" x14ac:dyDescent="0.3">
      <c r="A40" s="276"/>
      <c r="B40" s="302"/>
      <c r="C40" s="289"/>
      <c r="D40" s="289"/>
      <c r="E40" s="304" t="s">
        <v>33</v>
      </c>
      <c r="F40" s="268" t="e">
        <f t="shared" si="0"/>
        <v>#DIV/0!</v>
      </c>
      <c r="G40" s="369"/>
      <c r="N40" s="215" t="s">
        <v>135</v>
      </c>
      <c r="O40" s="276"/>
    </row>
    <row r="41" spans="1:15" ht="15" x14ac:dyDescent="0.3">
      <c r="A41" s="276"/>
      <c r="B41" s="302"/>
      <c r="C41" s="289"/>
      <c r="D41" s="289"/>
      <c r="E41" s="304" t="s">
        <v>103</v>
      </c>
      <c r="F41" s="268" t="e">
        <f t="shared" si="0"/>
        <v>#DIV/0!</v>
      </c>
      <c r="G41" s="369"/>
      <c r="N41" s="215" t="s">
        <v>136</v>
      </c>
      <c r="O41" s="276"/>
    </row>
    <row r="42" spans="1:15" ht="15" x14ac:dyDescent="0.3">
      <c r="A42" s="276"/>
      <c r="B42" s="302"/>
      <c r="C42" s="289"/>
      <c r="D42" s="289"/>
      <c r="E42" s="304" t="s">
        <v>34</v>
      </c>
      <c r="F42" s="268" t="e">
        <f t="shared" si="0"/>
        <v>#DIV/0!</v>
      </c>
      <c r="G42" s="369"/>
      <c r="N42" s="215" t="s">
        <v>137</v>
      </c>
      <c r="O42" s="276"/>
    </row>
    <row r="43" spans="1:15" ht="15" x14ac:dyDescent="0.3">
      <c r="A43" s="276"/>
      <c r="B43" s="289"/>
      <c r="C43" s="289"/>
      <c r="D43" s="289"/>
      <c r="E43" s="290" t="s">
        <v>43</v>
      </c>
      <c r="F43" s="268" t="e">
        <f t="shared" si="0"/>
        <v>#DIV/0!</v>
      </c>
      <c r="G43" s="268">
        <f>SUM(G34:G42)</f>
        <v>0</v>
      </c>
      <c r="N43" s="215" t="s">
        <v>138</v>
      </c>
      <c r="O43" s="276"/>
    </row>
    <row r="44" spans="1:15" ht="15" x14ac:dyDescent="0.3">
      <c r="A44" s="276"/>
      <c r="B44" s="289"/>
      <c r="C44" s="289"/>
      <c r="D44" s="289"/>
      <c r="E44" s="305" t="s">
        <v>99</v>
      </c>
      <c r="F44" s="268" t="e">
        <f t="shared" si="0"/>
        <v>#DIV/0!</v>
      </c>
      <c r="G44" s="267"/>
      <c r="N44" s="215" t="s">
        <v>139</v>
      </c>
      <c r="O44" s="276"/>
    </row>
    <row r="45" spans="1:15" ht="15" x14ac:dyDescent="0.3">
      <c r="A45" s="276"/>
      <c r="B45" s="289"/>
      <c r="C45" s="289"/>
      <c r="D45" s="289"/>
      <c r="E45" s="306"/>
      <c r="F45" s="63"/>
      <c r="G45" s="6"/>
      <c r="I45" s="9"/>
      <c r="N45" s="215" t="s">
        <v>140</v>
      </c>
      <c r="O45" s="276"/>
    </row>
    <row r="46" spans="1:15" ht="15" x14ac:dyDescent="0.3">
      <c r="A46" s="276"/>
      <c r="B46" s="289"/>
      <c r="C46" s="289"/>
      <c r="D46" s="289"/>
      <c r="E46" s="289"/>
      <c r="F46" s="289"/>
      <c r="G46" s="276"/>
      <c r="I46" s="9"/>
      <c r="J46" s="9"/>
      <c r="N46" s="215" t="s">
        <v>141</v>
      </c>
      <c r="O46" s="276"/>
    </row>
    <row r="47" spans="1:15" ht="15" x14ac:dyDescent="0.3">
      <c r="A47" s="276"/>
      <c r="B47" s="289"/>
      <c r="C47" s="289"/>
      <c r="D47" s="289"/>
      <c r="E47" s="307" t="s">
        <v>36</v>
      </c>
      <c r="F47" s="358" t="e">
        <f>SUMPRODUCT(G47:X47,G48:X48)/SUM(G48:X48)</f>
        <v>#DIV/0!</v>
      </c>
      <c r="G47" s="342"/>
      <c r="N47" s="215" t="s">
        <v>142</v>
      </c>
      <c r="O47" s="276"/>
    </row>
    <row r="48" spans="1:15" ht="15" x14ac:dyDescent="0.3">
      <c r="A48" s="276"/>
      <c r="B48" s="289"/>
      <c r="C48" s="289"/>
      <c r="D48" s="289"/>
      <c r="E48" s="307" t="s">
        <v>6</v>
      </c>
      <c r="F48" s="356">
        <f>SUM(G48:X48)</f>
        <v>0</v>
      </c>
      <c r="G48" s="357"/>
      <c r="I48" s="9"/>
      <c r="J48" s="28"/>
      <c r="N48" s="215" t="s">
        <v>143</v>
      </c>
      <c r="O48" s="276"/>
    </row>
    <row r="49" spans="1:15" ht="15" x14ac:dyDescent="0.3">
      <c r="A49" s="276"/>
      <c r="B49" s="289"/>
      <c r="C49" s="289"/>
      <c r="D49" s="289"/>
      <c r="E49" s="289"/>
      <c r="F49" s="289"/>
      <c r="G49" s="276"/>
      <c r="N49" s="215" t="s">
        <v>144</v>
      </c>
      <c r="O49" s="276"/>
    </row>
    <row r="50" spans="1:15" ht="15" x14ac:dyDescent="0.3">
      <c r="A50" s="276"/>
      <c r="B50" s="289"/>
      <c r="C50" s="289"/>
      <c r="D50" s="289"/>
      <c r="E50" s="289"/>
      <c r="F50" s="289"/>
      <c r="G50" s="281"/>
      <c r="N50" s="215" t="s">
        <v>145</v>
      </c>
      <c r="O50" s="276"/>
    </row>
    <row r="51" spans="1:15" ht="15" x14ac:dyDescent="0.3">
      <c r="A51" s="276"/>
      <c r="B51" s="289"/>
      <c r="C51" s="289"/>
      <c r="D51" s="289"/>
      <c r="E51" s="289"/>
      <c r="F51" s="289"/>
      <c r="G51" s="35"/>
      <c r="N51" s="215" t="s">
        <v>146</v>
      </c>
      <c r="O51" s="276"/>
    </row>
    <row r="52" spans="1:15" ht="15" x14ac:dyDescent="0.3">
      <c r="A52" s="276"/>
      <c r="B52" s="289"/>
      <c r="C52" s="289"/>
      <c r="D52" s="308" t="s">
        <v>71</v>
      </c>
      <c r="E52" s="289"/>
      <c r="F52" s="289"/>
      <c r="G52" s="282"/>
      <c r="N52" s="215" t="s">
        <v>147</v>
      </c>
      <c r="O52" s="276"/>
    </row>
    <row r="53" spans="1:15" ht="15" x14ac:dyDescent="0.3">
      <c r="A53" s="276"/>
      <c r="B53" s="289"/>
      <c r="C53" s="289"/>
      <c r="D53" s="289"/>
      <c r="E53" s="308"/>
      <c r="F53" s="308"/>
      <c r="G53" s="276"/>
      <c r="N53" s="215" t="s">
        <v>148</v>
      </c>
      <c r="O53" s="276"/>
    </row>
    <row r="54" spans="1:15" ht="15" x14ac:dyDescent="0.3">
      <c r="A54" s="280" t="s">
        <v>92</v>
      </c>
      <c r="B54" s="301" t="s">
        <v>89</v>
      </c>
      <c r="C54" s="289"/>
      <c r="D54" s="283"/>
      <c r="E54" s="283" t="s">
        <v>12</v>
      </c>
      <c r="F54" s="283" t="str">
        <f>F33</f>
        <v>Total</v>
      </c>
      <c r="G54" s="284">
        <f>G33</f>
        <v>0</v>
      </c>
      <c r="H54" s="5"/>
      <c r="N54" s="215" t="s">
        <v>149</v>
      </c>
      <c r="O54" s="276"/>
    </row>
    <row r="55" spans="1:15" ht="15.75" customHeight="1" x14ac:dyDescent="0.3">
      <c r="A55" s="279" t="e">
        <f>IF(B55=F55,"'OK","WARNING")</f>
        <v>#DIV/0!</v>
      </c>
      <c r="B55" s="309">
        <f>+'Wksh 1 - Market Experience'!G14</f>
        <v>312.27490706888199</v>
      </c>
      <c r="C55" s="289"/>
      <c r="D55" s="377" t="s">
        <v>44</v>
      </c>
      <c r="E55" s="310" t="s">
        <v>187</v>
      </c>
      <c r="F55" s="354" t="e">
        <f>SUMPRODUCT(G55:X55,G56:X56)/SUM(G56:X56)</f>
        <v>#DIV/0!</v>
      </c>
      <c r="G55" s="355"/>
      <c r="H55" s="22"/>
      <c r="N55" s="215" t="s">
        <v>150</v>
      </c>
      <c r="O55" s="276"/>
    </row>
    <row r="56" spans="1:15" ht="15" x14ac:dyDescent="0.3">
      <c r="A56" s="279" t="str">
        <f>IF(B56=F56,"'OK","WARNING")</f>
        <v>WARNING</v>
      </c>
      <c r="B56" s="67">
        <f>+'Wksh 1 - Market Experience'!F18</f>
        <v>1203203</v>
      </c>
      <c r="C56" s="289"/>
      <c r="D56" s="378"/>
      <c r="E56" s="311" t="s">
        <v>35</v>
      </c>
      <c r="F56" s="352">
        <f>SUM(G56:X56)</f>
        <v>0</v>
      </c>
      <c r="G56" s="353"/>
      <c r="H56" s="22"/>
      <c r="N56" s="215" t="s">
        <v>151</v>
      </c>
      <c r="O56" s="276"/>
    </row>
    <row r="57" spans="1:15" ht="15" x14ac:dyDescent="0.3">
      <c r="A57" s="279" t="str">
        <f>IF(B57=F57,"'OK","WARNING")</f>
        <v>WARNING</v>
      </c>
      <c r="B57" s="312">
        <f>+'Wksh 1 - Market Experience'!F14</f>
        <v>375730105.00999999</v>
      </c>
      <c r="C57" s="289"/>
      <c r="D57" s="378"/>
      <c r="E57" s="70" t="s">
        <v>46</v>
      </c>
      <c r="F57" s="346">
        <f>SUM(G57:X57)</f>
        <v>0</v>
      </c>
      <c r="G57" s="370"/>
      <c r="H57" s="22"/>
      <c r="N57" s="215" t="s">
        <v>152</v>
      </c>
      <c r="O57" s="276"/>
    </row>
    <row r="58" spans="1:15" ht="30" customHeight="1" x14ac:dyDescent="0.3">
      <c r="A58" s="276"/>
      <c r="B58" s="313"/>
      <c r="C58" s="289"/>
      <c r="D58" s="378"/>
      <c r="E58" s="314" t="s">
        <v>188</v>
      </c>
      <c r="F58" s="350" t="e">
        <f>SUMPRODUCT($G$57:$X$57,G58:X58)/$F$57</f>
        <v>#DIV/0!</v>
      </c>
      <c r="G58" s="269"/>
      <c r="H58" s="22"/>
      <c r="N58" s="215" t="s">
        <v>153</v>
      </c>
      <c r="O58" s="276"/>
    </row>
    <row r="59" spans="1:15" ht="30" customHeight="1" x14ac:dyDescent="0.3">
      <c r="A59" s="276"/>
      <c r="B59" s="313"/>
      <c r="C59" s="289"/>
      <c r="D59" s="378"/>
      <c r="E59" s="314" t="s">
        <v>66</v>
      </c>
      <c r="F59" s="350" t="e">
        <f>SUMPRODUCT($G$57:$X$57,G59:X59)/$F$57</f>
        <v>#DIV/0!</v>
      </c>
      <c r="G59" s="269"/>
      <c r="H59" s="22"/>
      <c r="N59" s="215" t="s">
        <v>154</v>
      </c>
      <c r="O59" s="276"/>
    </row>
    <row r="60" spans="1:15" ht="17.25" customHeight="1" x14ac:dyDescent="0.3">
      <c r="A60" s="276"/>
      <c r="B60" s="313"/>
      <c r="C60" s="289"/>
      <c r="D60" s="378"/>
      <c r="E60" s="314" t="s">
        <v>67</v>
      </c>
      <c r="F60" s="350" t="e">
        <f>1-F58-F59</f>
        <v>#DIV/0!</v>
      </c>
      <c r="G60" s="270">
        <f>1-G59-G58</f>
        <v>1</v>
      </c>
      <c r="H60" s="22"/>
      <c r="N60" s="215" t="s">
        <v>155</v>
      </c>
      <c r="O60" s="276"/>
    </row>
    <row r="61" spans="1:15" ht="15" customHeight="1" x14ac:dyDescent="0.3">
      <c r="A61" s="279" t="str">
        <f>IF(B61=F61,"'OK","WARNING")</f>
        <v>WARNING</v>
      </c>
      <c r="B61" s="312">
        <f>+'Wksh 1 - Market Experience'!F16</f>
        <v>431637043.72330147</v>
      </c>
      <c r="C61" s="289"/>
      <c r="D61" s="377" t="s">
        <v>45</v>
      </c>
      <c r="E61" s="73" t="s">
        <v>68</v>
      </c>
      <c r="F61" s="346">
        <f>SUM(G61:X61)</f>
        <v>0</v>
      </c>
      <c r="G61" s="347"/>
      <c r="H61" s="22"/>
      <c r="N61" s="215" t="s">
        <v>16</v>
      </c>
      <c r="O61" s="276"/>
    </row>
    <row r="62" spans="1:15" ht="29.25" customHeight="1" x14ac:dyDescent="0.3">
      <c r="A62" s="276"/>
      <c r="B62" s="313"/>
      <c r="C62" s="289"/>
      <c r="D62" s="378"/>
      <c r="E62" s="314" t="s">
        <v>189</v>
      </c>
      <c r="F62" s="350" t="e">
        <f>SUMPRODUCT($G$61:$X$61,G62:X62)/$F$61</f>
        <v>#DIV/0!</v>
      </c>
      <c r="G62" s="372"/>
      <c r="H62" s="22"/>
      <c r="N62" s="215" t="s">
        <v>156</v>
      </c>
      <c r="O62" s="276"/>
    </row>
    <row r="63" spans="1:15" ht="29.25" customHeight="1" x14ac:dyDescent="0.3">
      <c r="A63" s="276"/>
      <c r="B63" s="313"/>
      <c r="C63" s="289"/>
      <c r="D63" s="378"/>
      <c r="E63" s="314" t="s">
        <v>69</v>
      </c>
      <c r="F63" s="350" t="e">
        <f>SUMPRODUCT($G$61:$X$61,G63:X63)/$F$61</f>
        <v>#DIV/0!</v>
      </c>
      <c r="G63" s="372"/>
      <c r="H63" s="22"/>
      <c r="N63" s="362" t="s">
        <v>181</v>
      </c>
      <c r="O63" s="276"/>
    </row>
    <row r="64" spans="1:15" ht="17.25" customHeight="1" x14ac:dyDescent="0.3">
      <c r="A64" s="276"/>
      <c r="B64" s="313"/>
      <c r="C64" s="289"/>
      <c r="D64" s="378"/>
      <c r="E64" s="314" t="s">
        <v>70</v>
      </c>
      <c r="F64" s="350" t="e">
        <f>1-F62-F63</f>
        <v>#DIV/0!</v>
      </c>
      <c r="G64" s="270">
        <f>1-G63-G62</f>
        <v>1</v>
      </c>
      <c r="H64" s="22"/>
      <c r="N64" s="362" t="s">
        <v>182</v>
      </c>
      <c r="O64" s="276"/>
    </row>
    <row r="65" spans="1:15" ht="28.8" x14ac:dyDescent="0.3">
      <c r="A65" s="276"/>
      <c r="B65" s="313"/>
      <c r="C65" s="289"/>
      <c r="D65" s="378"/>
      <c r="E65" s="315" t="s">
        <v>100</v>
      </c>
      <c r="F65" s="346">
        <f>SUM(G65:X65)</f>
        <v>0</v>
      </c>
      <c r="G65" s="347"/>
      <c r="H65" s="22"/>
      <c r="N65" s="362" t="s">
        <v>183</v>
      </c>
      <c r="O65" s="276"/>
    </row>
    <row r="66" spans="1:15" ht="29.25" customHeight="1" x14ac:dyDescent="0.3">
      <c r="A66" s="276"/>
      <c r="B66" s="313"/>
      <c r="C66" s="289"/>
      <c r="D66" s="378"/>
      <c r="E66" s="316" t="s">
        <v>85</v>
      </c>
      <c r="F66" s="348">
        <f>SUM(G66:X66)</f>
        <v>0</v>
      </c>
      <c r="G66" s="349"/>
      <c r="H66" s="22"/>
      <c r="N66" s="362" t="s">
        <v>184</v>
      </c>
      <c r="O66" s="276"/>
    </row>
    <row r="67" spans="1:15" ht="27.75" customHeight="1" x14ac:dyDescent="0.3">
      <c r="A67" s="276"/>
      <c r="B67" s="313"/>
      <c r="C67" s="289"/>
      <c r="D67" s="378"/>
      <c r="E67" s="316" t="s">
        <v>86</v>
      </c>
      <c r="F67" s="350" t="e">
        <f>+F66/F65</f>
        <v>#DIV/0!</v>
      </c>
      <c r="G67" s="340" t="e">
        <f>+G66/G65</f>
        <v>#DIV/0!</v>
      </c>
      <c r="H67" s="22"/>
      <c r="N67" s="362" t="s">
        <v>185</v>
      </c>
      <c r="O67" s="276"/>
    </row>
    <row r="68" spans="1:15" ht="15" customHeight="1" x14ac:dyDescent="0.3">
      <c r="A68" s="279" t="str">
        <f>IF(B68=F68,"'OK","WARNING")</f>
        <v>WARNING</v>
      </c>
      <c r="B68" s="312">
        <f>+'Wksh 1 - Market Experience'!F15</f>
        <v>335891818.72158289</v>
      </c>
      <c r="C68" s="289"/>
      <c r="D68" s="378"/>
      <c r="E68" s="73" t="s">
        <v>84</v>
      </c>
      <c r="F68" s="343">
        <f>SUM(G68:X68)</f>
        <v>0</v>
      </c>
      <c r="G68" s="344">
        <f>+G61-G65</f>
        <v>0</v>
      </c>
      <c r="H68" s="22"/>
      <c r="O68" s="276"/>
    </row>
    <row r="69" spans="1:15" ht="15" customHeight="1" x14ac:dyDescent="0.3">
      <c r="A69" s="276"/>
      <c r="B69" s="317"/>
      <c r="C69" s="289"/>
      <c r="D69" s="318"/>
      <c r="E69" s="73"/>
      <c r="F69" s="286"/>
      <c r="G69" s="40"/>
      <c r="H69" s="22"/>
    </row>
    <row r="70" spans="1:15" ht="15" customHeight="1" x14ac:dyDescent="0.3">
      <c r="A70" s="279"/>
      <c r="B70" s="313"/>
      <c r="C70" s="289"/>
      <c r="D70" s="318"/>
      <c r="E70" s="73" t="s">
        <v>94</v>
      </c>
      <c r="F70" s="341">
        <f>SUM(G70:X70)</f>
        <v>0</v>
      </c>
      <c r="G70" s="342"/>
      <c r="H70" s="22"/>
    </row>
    <row r="71" spans="1:15" ht="15" customHeight="1" x14ac:dyDescent="0.3">
      <c r="A71" s="276"/>
      <c r="B71" s="313"/>
      <c r="C71" s="289"/>
      <c r="D71" s="319"/>
      <c r="E71" s="73" t="s">
        <v>93</v>
      </c>
      <c r="F71" s="341">
        <f>SUM(G71:X71)</f>
        <v>0</v>
      </c>
      <c r="G71" s="342"/>
      <c r="H71" s="22"/>
    </row>
    <row r="72" spans="1:15" ht="12.75" customHeight="1" x14ac:dyDescent="0.3">
      <c r="A72" s="276"/>
      <c r="B72" s="320"/>
      <c r="C72" s="289"/>
      <c r="D72" s="321"/>
      <c r="E72" s="322"/>
      <c r="F72" s="333"/>
      <c r="G72" s="23"/>
      <c r="H72" s="22"/>
    </row>
    <row r="73" spans="1:15" x14ac:dyDescent="0.3">
      <c r="A73" s="279" t="e">
        <f>IF(B73=F73,"'OK","WARNING")</f>
        <v>#DIV/0!</v>
      </c>
      <c r="B73" s="81">
        <f>+'Wksh 1 - Market Experience'!G15</f>
        <v>279.16471179142911</v>
      </c>
      <c r="C73" s="289"/>
      <c r="D73" s="323"/>
      <c r="E73" s="307" t="s">
        <v>87</v>
      </c>
      <c r="F73" s="271" t="e">
        <f>+F68/F56</f>
        <v>#DIV/0!</v>
      </c>
      <c r="G73" s="271" t="e">
        <f>+G68/G56</f>
        <v>#DIV/0!</v>
      </c>
      <c r="H73" s="22"/>
    </row>
    <row r="74" spans="1:15" x14ac:dyDescent="0.3">
      <c r="A74" s="279" t="e">
        <f>IF(B74=F74,"'OK","WARNING")</f>
        <v>#DIV/0!</v>
      </c>
      <c r="B74" s="81">
        <f>+'Wksh 1 - Market Experience'!G16</f>
        <v>358.73999958718645</v>
      </c>
      <c r="C74" s="289"/>
      <c r="D74" s="324"/>
      <c r="E74" s="307" t="s">
        <v>8</v>
      </c>
      <c r="F74" s="271" t="e">
        <f>+F61/F56</f>
        <v>#DIV/0!</v>
      </c>
      <c r="G74" s="271" t="e">
        <f>+G61/G56</f>
        <v>#DIV/0!</v>
      </c>
      <c r="H74" s="22"/>
    </row>
    <row r="75" spans="1:15" x14ac:dyDescent="0.3">
      <c r="A75" s="276"/>
      <c r="B75" s="313"/>
      <c r="C75" s="289"/>
      <c r="D75" s="325"/>
      <c r="E75" s="283" t="s">
        <v>88</v>
      </c>
      <c r="F75" s="271" t="e">
        <f>+F74*F62</f>
        <v>#DIV/0!</v>
      </c>
      <c r="G75" s="271" t="e">
        <f>+G74*G62</f>
        <v>#DIV/0!</v>
      </c>
      <c r="H75" s="22"/>
    </row>
    <row r="76" spans="1:15" x14ac:dyDescent="0.3">
      <c r="A76" s="276"/>
      <c r="B76" s="289"/>
      <c r="C76" s="289"/>
      <c r="D76" s="289"/>
      <c r="E76" s="289"/>
      <c r="F76" s="334"/>
      <c r="G76" s="33"/>
      <c r="H76" s="22"/>
    </row>
    <row r="77" spans="1:15" x14ac:dyDescent="0.3">
      <c r="A77" s="276"/>
      <c r="B77" s="289"/>
      <c r="C77" s="289"/>
      <c r="D77" s="289"/>
      <c r="E77" s="289"/>
      <c r="F77" s="327"/>
      <c r="G77" s="278"/>
      <c r="H77" s="22"/>
    </row>
    <row r="78" spans="1:15" x14ac:dyDescent="0.3">
      <c r="A78" s="276"/>
      <c r="B78" s="289"/>
      <c r="C78" s="289"/>
      <c r="D78" s="326" t="s">
        <v>72</v>
      </c>
      <c r="E78" s="289"/>
      <c r="F78" s="327"/>
      <c r="G78" s="278"/>
      <c r="H78" s="22"/>
    </row>
    <row r="79" spans="1:15" x14ac:dyDescent="0.3">
      <c r="A79" s="276"/>
      <c r="B79" s="289"/>
      <c r="C79" s="289"/>
      <c r="D79" s="289"/>
      <c r="E79" s="289"/>
      <c r="F79" s="335"/>
      <c r="G79" s="276"/>
      <c r="H79" s="22"/>
    </row>
    <row r="80" spans="1:15" x14ac:dyDescent="0.3">
      <c r="A80" s="280" t="s">
        <v>92</v>
      </c>
      <c r="B80" s="301" t="s">
        <v>89</v>
      </c>
      <c r="C80" s="289"/>
      <c r="D80" s="283"/>
      <c r="E80" s="283" t="s">
        <v>12</v>
      </c>
      <c r="F80" s="283" t="str">
        <f>F54</f>
        <v>Total</v>
      </c>
      <c r="G80" s="284">
        <f>G54</f>
        <v>0</v>
      </c>
      <c r="H80" s="22"/>
    </row>
    <row r="81" spans="1:8" ht="14.4" customHeight="1" x14ac:dyDescent="0.3">
      <c r="A81" s="279" t="e">
        <f>IF(B81=F81,"'OK","WARNING")</f>
        <v>#DIV/0!</v>
      </c>
      <c r="B81" s="309">
        <f>+'Wksh 1 - Market Experience'!V43</f>
        <v>463.27204825222094</v>
      </c>
      <c r="C81" s="289"/>
      <c r="D81" s="377" t="s">
        <v>44</v>
      </c>
      <c r="E81" s="307" t="s">
        <v>187</v>
      </c>
      <c r="F81" s="351" t="e">
        <f>SUMPRODUCT(G81:X81,G82:X82)/SUM(G82:X82)</f>
        <v>#DIV/0!</v>
      </c>
      <c r="G81" s="355"/>
      <c r="H81" s="22"/>
    </row>
    <row r="82" spans="1:8" x14ac:dyDescent="0.3">
      <c r="A82" s="279" t="str">
        <f>IF(B82=F82,"'OK","WARNING")</f>
        <v>WARNING</v>
      </c>
      <c r="B82" s="67">
        <f>+'Wksh 1 - Market Experience'!X47</f>
        <v>1324543</v>
      </c>
      <c r="C82" s="289"/>
      <c r="D82" s="378"/>
      <c r="E82" s="307" t="s">
        <v>35</v>
      </c>
      <c r="F82" s="331">
        <f>SUM(G82:X82)</f>
        <v>0</v>
      </c>
      <c r="G82" s="286">
        <f>G48</f>
        <v>0</v>
      </c>
      <c r="H82" s="22"/>
    </row>
    <row r="83" spans="1:8" x14ac:dyDescent="0.3">
      <c r="A83" s="279" t="str">
        <f>IF(B83=F83,"'OK","WARNING")</f>
        <v>WARNING</v>
      </c>
      <c r="B83" s="312">
        <f>+'Wksh 1 - Market Experience'!X43</f>
        <v>613623748.60814142</v>
      </c>
      <c r="C83" s="289"/>
      <c r="D83" s="378"/>
      <c r="E83" s="70" t="s">
        <v>46</v>
      </c>
      <c r="F83" s="346">
        <f>SUM(G83:X83)</f>
        <v>0</v>
      </c>
      <c r="G83" s="371"/>
      <c r="H83" s="22"/>
    </row>
    <row r="84" spans="1:8" ht="33" customHeight="1" x14ac:dyDescent="0.3">
      <c r="A84" s="276"/>
      <c r="B84" s="313"/>
      <c r="C84" s="289"/>
      <c r="D84" s="378"/>
      <c r="E84" s="314" t="s">
        <v>188</v>
      </c>
      <c r="F84" s="350" t="e">
        <f>SUMPRODUCT($G$83:$X$83,G84:X84)/$F$83</f>
        <v>#DIV/0!</v>
      </c>
      <c r="G84" s="372"/>
      <c r="H84" s="22"/>
    </row>
    <row r="85" spans="1:8" ht="28.8" x14ac:dyDescent="0.3">
      <c r="A85" s="276"/>
      <c r="B85" s="313"/>
      <c r="C85" s="289"/>
      <c r="D85" s="378"/>
      <c r="E85" s="314" t="s">
        <v>66</v>
      </c>
      <c r="F85" s="350" t="e">
        <f>SUMPRODUCT($G$83:$X$83,G85:X85)/$F$83</f>
        <v>#DIV/0!</v>
      </c>
      <c r="G85" s="372"/>
      <c r="H85" s="22"/>
    </row>
    <row r="86" spans="1:8" x14ac:dyDescent="0.3">
      <c r="A86" s="276"/>
      <c r="B86" s="313"/>
      <c r="C86" s="289"/>
      <c r="D86" s="378"/>
      <c r="E86" s="314" t="s">
        <v>67</v>
      </c>
      <c r="F86" s="350" t="e">
        <f>1-F84-F85</f>
        <v>#DIV/0!</v>
      </c>
      <c r="G86" s="270">
        <f>1-G85-G84</f>
        <v>1</v>
      </c>
      <c r="H86" s="22"/>
    </row>
    <row r="87" spans="1:8" ht="14.4" customHeight="1" x14ac:dyDescent="0.3">
      <c r="A87" s="279" t="str">
        <f>IF(B87=F87,"'OK","WARNING")</f>
        <v>WARNING</v>
      </c>
      <c r="B87" s="67">
        <f>+('Wksh 1 - Market Experience'!V32-'Wksh 1 - Market Experience'!V35-'Wksh 1 - Market Experience'!V37)*'Wksh 1 - Market Experience'!X47</f>
        <v>638404371.92681932</v>
      </c>
      <c r="C87" s="289"/>
      <c r="D87" s="377" t="s">
        <v>45</v>
      </c>
      <c r="E87" s="73" t="s">
        <v>68</v>
      </c>
      <c r="F87" s="346">
        <f>SUM(G87:X87)</f>
        <v>0</v>
      </c>
      <c r="G87" s="347"/>
      <c r="H87" s="22"/>
    </row>
    <row r="88" spans="1:8" ht="30.75" customHeight="1" x14ac:dyDescent="0.3">
      <c r="A88" s="276"/>
      <c r="B88" s="313"/>
      <c r="C88" s="289"/>
      <c r="D88" s="378"/>
      <c r="E88" s="314" t="s">
        <v>189</v>
      </c>
      <c r="F88" s="350" t="e">
        <f>SUMPRODUCT($G$87:$X$87,G88:X88)/$F$87</f>
        <v>#DIV/0!</v>
      </c>
      <c r="G88" s="372"/>
      <c r="H88" s="22"/>
    </row>
    <row r="89" spans="1:8" ht="28.8" x14ac:dyDescent="0.3">
      <c r="A89" s="276"/>
      <c r="B89" s="313"/>
      <c r="C89" s="289"/>
      <c r="D89" s="378"/>
      <c r="E89" s="314" t="s">
        <v>69</v>
      </c>
      <c r="F89" s="350" t="e">
        <f>SUMPRODUCT($G$87:$X$87,G89:X89)/$F$87</f>
        <v>#DIV/0!</v>
      </c>
      <c r="G89" s="372"/>
      <c r="H89" s="22"/>
    </row>
    <row r="90" spans="1:8" x14ac:dyDescent="0.3">
      <c r="A90" s="276"/>
      <c r="B90" s="313"/>
      <c r="C90" s="289"/>
      <c r="D90" s="378"/>
      <c r="E90" s="314" t="s">
        <v>70</v>
      </c>
      <c r="F90" s="350" t="e">
        <f>1-F88-F89</f>
        <v>#DIV/0!</v>
      </c>
      <c r="G90" s="270">
        <f>1-G89-G88</f>
        <v>1</v>
      </c>
      <c r="H90" s="22"/>
    </row>
    <row r="91" spans="1:8" ht="28.8" x14ac:dyDescent="0.3">
      <c r="A91" s="276"/>
      <c r="B91" s="313"/>
      <c r="C91" s="289"/>
      <c r="D91" s="378"/>
      <c r="E91" s="315" t="s">
        <v>101</v>
      </c>
      <c r="F91" s="346">
        <f>SUM(G91:X91)</f>
        <v>0</v>
      </c>
      <c r="G91" s="347"/>
      <c r="H91" s="22"/>
    </row>
    <row r="92" spans="1:8" ht="28.8" x14ac:dyDescent="0.3">
      <c r="A92" s="276"/>
      <c r="B92" s="313"/>
      <c r="C92" s="289"/>
      <c r="D92" s="378"/>
      <c r="E92" s="316" t="s">
        <v>85</v>
      </c>
      <c r="F92" s="348">
        <f>SUM(G92:X92)</f>
        <v>0</v>
      </c>
      <c r="G92" s="349"/>
      <c r="H92" s="22"/>
    </row>
    <row r="93" spans="1:8" ht="30.75" customHeight="1" x14ac:dyDescent="0.3">
      <c r="A93" s="276"/>
      <c r="B93" s="313"/>
      <c r="C93" s="289"/>
      <c r="D93" s="324"/>
      <c r="E93" s="316" t="s">
        <v>86</v>
      </c>
      <c r="F93" s="350" t="e">
        <f>+F92/F91</f>
        <v>#DIV/0!</v>
      </c>
      <c r="G93" s="340" t="e">
        <f>G92/G91</f>
        <v>#DIV/0!</v>
      </c>
      <c r="H93" s="22"/>
    </row>
    <row r="94" spans="1:8" ht="17.25" customHeight="1" x14ac:dyDescent="0.3">
      <c r="A94" s="279" t="str">
        <f>IF(B94=F94,"'OK","WARNING")</f>
        <v>WARNING</v>
      </c>
      <c r="B94" s="43">
        <f>+'Wksh 1 - Market Experience'!X38</f>
        <v>492069278.05211318</v>
      </c>
      <c r="C94" s="289"/>
      <c r="D94" s="324"/>
      <c r="E94" s="73" t="s">
        <v>84</v>
      </c>
      <c r="F94" s="343">
        <f>SUM(G94:X94)</f>
        <v>0</v>
      </c>
      <c r="G94" s="344">
        <f>+G87-G91</f>
        <v>0</v>
      </c>
      <c r="H94" s="22"/>
    </row>
    <row r="95" spans="1:8" ht="17.25" customHeight="1" x14ac:dyDescent="0.3">
      <c r="A95" s="276"/>
      <c r="B95" s="43"/>
      <c r="C95" s="289"/>
      <c r="D95" s="324"/>
      <c r="E95" s="73"/>
      <c r="F95" s="286"/>
      <c r="G95" s="39"/>
      <c r="H95" s="22"/>
    </row>
    <row r="96" spans="1:8" ht="17.25" customHeight="1" x14ac:dyDescent="0.3">
      <c r="A96" s="279" t="str">
        <f>IF(B96=F96,"'OK","WARNING")</f>
        <v>'OK</v>
      </c>
      <c r="B96" s="43">
        <f>'Wksh 1 - Market Experience'!X37</f>
        <v>0</v>
      </c>
      <c r="C96" s="289"/>
      <c r="D96" s="324"/>
      <c r="E96" s="73" t="s">
        <v>94</v>
      </c>
      <c r="F96" s="343">
        <f>SUM(G96:X96)</f>
        <v>0</v>
      </c>
      <c r="G96" s="345"/>
      <c r="H96" s="22"/>
    </row>
    <row r="97" spans="1:17" ht="17.25" customHeight="1" x14ac:dyDescent="0.3">
      <c r="A97" s="276"/>
      <c r="B97" s="313"/>
      <c r="C97" s="289"/>
      <c r="D97" s="325"/>
      <c r="E97" s="73" t="s">
        <v>93</v>
      </c>
      <c r="F97" s="343">
        <f>SUM(G97:X97)</f>
        <v>0</v>
      </c>
      <c r="G97" s="345"/>
      <c r="H97" s="22"/>
    </row>
    <row r="98" spans="1:17" x14ac:dyDescent="0.3">
      <c r="A98" s="276"/>
      <c r="B98" s="320"/>
      <c r="C98" s="289"/>
      <c r="D98" s="327"/>
      <c r="E98" s="328"/>
      <c r="F98" s="322"/>
      <c r="G98" s="34"/>
      <c r="H98" s="22"/>
    </row>
    <row r="99" spans="1:17" x14ac:dyDescent="0.3">
      <c r="A99" s="279" t="e">
        <f>IF(B99=F99,"'OK","WARNING")</f>
        <v>#DIV/0!</v>
      </c>
      <c r="B99" s="285">
        <f>+'Wksh 1 - Market Experience'!V38</f>
        <v>371.50117289669959</v>
      </c>
      <c r="C99" s="289"/>
      <c r="D99" s="323"/>
      <c r="E99" s="307" t="s">
        <v>87</v>
      </c>
      <c r="F99" s="271" t="e">
        <f>+F94/F82</f>
        <v>#DIV/0!</v>
      </c>
      <c r="G99" s="271" t="e">
        <f>+G94/G82</f>
        <v>#DIV/0!</v>
      </c>
      <c r="H99" s="22"/>
      <c r="J99" s="33"/>
      <c r="K99" s="33"/>
      <c r="L99" s="37"/>
    </row>
    <row r="100" spans="1:17" x14ac:dyDescent="0.3">
      <c r="A100" s="279" t="e">
        <f>IF(B100=F100,"'OK","WARNING")</f>
        <v>#DIV/0!</v>
      </c>
      <c r="B100" s="285">
        <f>+'Wksh 1 - Market Experience'!V32</f>
        <v>425.17202552825336</v>
      </c>
      <c r="C100" s="289"/>
      <c r="D100" s="324"/>
      <c r="E100" s="307" t="s">
        <v>8</v>
      </c>
      <c r="F100" s="271" t="e">
        <f>+F87/F82</f>
        <v>#DIV/0!</v>
      </c>
      <c r="G100" s="271" t="e">
        <f>+G87/G82</f>
        <v>#DIV/0!</v>
      </c>
      <c r="H100" s="22"/>
      <c r="L100" s="37"/>
    </row>
    <row r="101" spans="1:17" x14ac:dyDescent="0.3">
      <c r="A101" s="276"/>
      <c r="B101" s="313"/>
      <c r="C101" s="289"/>
      <c r="D101" s="325"/>
      <c r="E101" s="283" t="s">
        <v>88</v>
      </c>
      <c r="F101" s="271" t="e">
        <f>+F100*F88</f>
        <v>#DIV/0!</v>
      </c>
      <c r="G101" s="271" t="e">
        <f>+G100*G88</f>
        <v>#DIV/0!</v>
      </c>
      <c r="H101" s="22"/>
      <c r="I101" s="33"/>
      <c r="L101" s="37"/>
    </row>
    <row r="102" spans="1:17" x14ac:dyDescent="0.3">
      <c r="G102" s="33"/>
      <c r="H102" s="33"/>
    </row>
    <row r="103" spans="1:17" x14ac:dyDescent="0.3">
      <c r="G103" s="32"/>
      <c r="J103" s="28"/>
      <c r="Q103" s="37"/>
    </row>
    <row r="104" spans="1:17" x14ac:dyDescent="0.3">
      <c r="J104" s="28"/>
      <c r="Q104" s="37"/>
    </row>
    <row r="105" spans="1:17" x14ac:dyDescent="0.3">
      <c r="G105" s="21"/>
      <c r="I105" s="9"/>
      <c r="Q105" s="37"/>
    </row>
    <row r="106" spans="1:17" x14ac:dyDescent="0.3">
      <c r="G106" s="21"/>
      <c r="I106" s="9"/>
      <c r="J106" s="33"/>
    </row>
    <row r="107" spans="1:17" x14ac:dyDescent="0.3">
      <c r="G107" s="21"/>
      <c r="J107" s="37"/>
      <c r="K107" s="37"/>
    </row>
    <row r="108" spans="1:17" x14ac:dyDescent="0.3">
      <c r="G108" s="32"/>
    </row>
    <row r="109" spans="1:17" x14ac:dyDescent="0.3">
      <c r="G109" s="21"/>
    </row>
    <row r="110" spans="1:17" x14ac:dyDescent="0.3">
      <c r="G110" s="21"/>
    </row>
    <row r="111" spans="1:17" x14ac:dyDescent="0.3">
      <c r="G111" s="21"/>
    </row>
    <row r="112" spans="1:17" x14ac:dyDescent="0.3">
      <c r="G112" s="21"/>
    </row>
    <row r="113" spans="7:7" x14ac:dyDescent="0.3">
      <c r="G113" s="32"/>
    </row>
    <row r="114" spans="7:7" x14ac:dyDescent="0.3">
      <c r="G114" s="21"/>
    </row>
    <row r="115" spans="7:7" x14ac:dyDescent="0.3">
      <c r="G115" s="21"/>
    </row>
    <row r="116" spans="7:7" x14ac:dyDescent="0.3">
      <c r="G116" s="21"/>
    </row>
    <row r="117" spans="7:7" x14ac:dyDescent="0.3">
      <c r="G117" s="21"/>
    </row>
    <row r="118" spans="7:7" x14ac:dyDescent="0.3">
      <c r="G118" s="32"/>
    </row>
    <row r="119" spans="7:7" x14ac:dyDescent="0.3">
      <c r="G119" s="21"/>
    </row>
    <row r="120" spans="7:7" x14ac:dyDescent="0.3">
      <c r="G120" s="21"/>
    </row>
    <row r="121" spans="7:7" x14ac:dyDescent="0.3">
      <c r="G121" s="21"/>
    </row>
  </sheetData>
  <sheetProtection algorithmName="SHA-512" hashValue="wIhziGD6jCvVhG8UXz6ncYhk0g27x5D73IefLdyi1egqPqhugLIq1SCJRwOUJYAv7X+yzzLMgETipcRGa6+TRw==" saltValue="Dsfp1XuIuxsOeX+Ug6dK+w==" spinCount="100000" sheet="1" objects="1" scenarios="1"/>
  <mergeCells count="5">
    <mergeCell ref="D55:D60"/>
    <mergeCell ref="D61:D68"/>
    <mergeCell ref="D81:D86"/>
    <mergeCell ref="D87:D92"/>
    <mergeCell ref="I5:K5"/>
  </mergeCells>
  <dataValidations count="48">
    <dataValidation type="list" allowBlank="1" showInputMessage="1" showErrorMessage="1" errorTitle="Value not valid" error="Select a value from the list." promptTitle="Required:" prompt="Select the metal level for the designated plan." sqref="G14">
      <formula1>"Platinum, Gold, Silver, Bronze, Catastrophic, Not Applicable"</formula1>
    </dataValidation>
    <dataValidation type="list" allowBlank="1" showInputMessage="1" showErrorMessage="1" errorTitle="Value not valid" error="Select a value from the list." promptTitle="Required:" prompt="Select plan type from list to represent the specific set of benefits and cost sharing values within a product that produce an actuarial value equal to one of the metal levels permitted under the ACA." sqref="G18">
      <formula1>"HMO, PPO, Indemnity, EPO, POS"</formula1>
    </dataValidation>
    <dataValidation type="list" allowBlank="1" showInputMessage="1" showErrorMessage="1" errorTitle="Value not valid" error="Select a value from the list." promptTitle="Required:" prompt="Select yes or no to indicate whether the plan will be offered inside a State-based or Federally Facilitated Exchange or SHOP, regardless of whether it will also be offered in the outside market." sqref="G21">
      <formula1>"Yes,No"</formula1>
    </dataValidation>
    <dataValidation type="date" operator="greaterThan" allowBlank="1" showInputMessage="1" showErrorMessage="1" errorTitle="Value not valid." error="Effective Date is a required field." promptTitle="Required:" prompt="Enter the effective date of the proposed rate change being submitted." sqref="G25">
      <formula1>40179</formula1>
    </dataValidation>
    <dataValidation type="textLength" allowBlank="1" showInputMessage="1" showErrorMessage="1" errorTitle="Value not valid" error="Enter text up to 100 characters." promptTitle="Required:" prompt="A package of health insurance coverage benefits with a discrete set of rating and pricing methodologies that an issuer offers in a state, for which a rate increase is being requested.  (Enter text up to 100 characters.)" sqref="G12">
      <formula1>0</formula1>
      <formula2>100</formula2>
    </dataValidation>
    <dataValidation type="textLength" allowBlank="1" showInputMessage="1" showErrorMessage="1" errorTitle="Value not valid" error="Enter 10 digit string (5-digit Issuer ID + 2-letter State Abbr + 3-digits)" promptTitle="Required:" prompt="Enter Valid Product ID.  Enter 10 digit string (5-digit Issuer ID + 2-letter State Abbr + 3-digits)" sqref="G13">
      <formula1>10</formula1>
      <formula2>10</formula2>
    </dataValidation>
    <dataValidation type="decimal" allowBlank="1" showInputMessage="1" showErrorMessage="1" errorTitle="Value not valid" error="Enter a decimal value less than 1 with up to 3 decimal points." promptTitle="Required:" prompt="The percentage paid by a health plan of the percentage of the total allowed costs of benefits.  (Enter a decimal value less than 1 with up to 3 decimal points.)" sqref="G15">
      <formula1>0</formula1>
      <formula2>1</formula2>
    </dataValidation>
    <dataValidation type="decimal" operator="greaterThan" allowBlank="1" showInputMessage="1" showErrorMessage="1" errorTitle="Value not valid" error="Enter a decimal value with up to 3 decimal points." promptTitle="Required:" prompt="The amount paid by the health plan as a percentage of the allowed costs for a fixed reference plan.  (Enter a decimal value with up to 3 decimal points.)" sqref="G16">
      <formula1>0</formula1>
    </dataValidation>
    <dataValidation type="textLength" allowBlank="1" showInputMessage="1" showErrorMessage="1" errorTitle="Value not valid" error="Enter text up to 100 characters." promptTitle="Required:" prompt="Enter the marketing name (Plan Name) used when referring to the specific set of benefits and cost sharing values.  (Enter text up to 100 characters.)" sqref="G19">
      <formula1>1</formula1>
      <formula2>100</formula2>
    </dataValidation>
    <dataValidation type="textLength" operator="equal" allowBlank="1" showInputMessage="1" showErrorMessage="1" errorTitle="Value not valid" error="Enter alphanumeric value up to 14 characters." promptTitle="Required:" prompt="Enter a unique identifier (Plan ID) for this plan.  (Enter alphanumeric value up to 14 characters.)" sqref="G20">
      <formula1>14</formula1>
    </dataValidation>
    <dataValidation type="decimal" allowBlank="1" showInputMessage="1" showErrorMessage="1" errorTitle="Value not valid" error="Enter a percentage value between -100% and 100% with up to 2 decimal points." promptTitle="Required:" prompt="Enter the Historical Rate Increase for the Calendar year prior to the effective year as a percentage value between -100% and 100% with up to 2 decimal points." sqref="G24">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2 years prior to the effective year as a percentage value between -100% and 100% with up to 2 decimal points." sqref="G23">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3 years prior to the effective year as a percentage value between -100% and 100% with up to 2 decimal points." sqref="G22">
      <formula1>-1</formula1>
      <formula2>1</formula2>
    </dataValidation>
    <dataValidation type="decimal" allowBlank="1" showInputMessage="1" showErrorMessage="1" errorTitle="Value not valid" error="Enter a percentage value greater than or equal to 0 with up to 2 decimal points." promptTitle="Required:" prompt="Enter the average change in premium rates over the rates included in the prior filing for each plan as a percentage value up to 2 decimal points." sqref="G26">
      <formula1>-999</formula1>
      <formula2>2000</formula2>
    </dataValidation>
    <dataValidation operator="greaterThanOrEqual" allowBlank="1" showInputMessage="1" showErrorMessage="1" errorTitle="Value not valid" error="Enter a valid dollar amount greater than or equal to 0." promptTitle="Required:" prompt="Enter the portion of the increase in the premium that corresponds to the risk and profit charges incorporated in the premium rates for the plan in dollars. " sqref="G42"/>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inpatient services for the plan in dollars. " sqref="G34"/>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outpatient services for the plan in dollars. " sqref="G35"/>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ofessional services for the plan in dollars. " sqref="G36"/>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escription drugs for the plan in dollars. " sqref="G37"/>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in the “other” benefit category for the plan in dollars. " sqref="G38"/>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under capitation for the plan in dollars." sqref="G39"/>
    <dataValidation operator="greaterThanOrEqual" allowBlank="1" showInputMessage="1" showErrorMessage="1" errorTitle="Value not valid" error="Enter a valid dollar amount greater than or equal to 0." promptTitle="Required:" prompt="Enter the portion of the increase in premium that corresponds to administrative expenses incorporated in the premium rates for the plan in dollars. " sqref="G40"/>
    <dataValidation operator="greaterThanOrEqual" allowBlank="1" showInputMessage="1" showErrorMessage="1" errorTitle="Value not valid" error="Enter a valid dollar amount greater than or equal to 0." promptTitle="Required:" prompt="Enter the portion of the increase in premium that corresponds to the taxes and fees incorporated in the premium rates for the plan in dollars. " sqref="G41"/>
    <dataValidation operator="greaterThanOrEqual" allowBlank="1" showInputMessage="1" showErrorMessage="1" errorTitle="Value not valid" error="Enter a valid dollar amount greater than or equal to 0." promptTitle="Required:" prompt="Enter the expected increase in the member’s cost sharing portion from the period underlying the current rate for the plan to the projected rating period of the plan in dollars." sqref="G44"/>
    <dataValidation type="decimal" operator="greaterThanOrEqual" allowBlank="1" showInputMessage="1" showErrorMessage="1" errorTitle="Value not valid" error="Enter a dollar value greater than or equal to 0." prompt="Enter the average premium rate on a per member basis for each plan for the most recently approved rates in dollars." sqref="G47">
      <formula1>0</formula1>
    </dataValidation>
    <dataValidation type="whole" operator="greaterThanOrEqual" allowBlank="1" showInputMessage="1" showErrorMessage="1" errorTitle="Value not valid" error="Enter a whole number greater than or equal to 0" prompt="Enter the total projected member months.  (Enter a whole number greater than or equal to 0)" sqref="G48">
      <formula1>0</formula1>
    </dataValidation>
    <dataValidation type="decimal" operator="greaterThanOrEqual" allowBlank="1" showInputMessage="1" showErrorMessage="1" errorTitle="Value not valid" error="Enter a dollar amount greater than or equal to 0." promptTitle="Required if Member Months &gt; 0:" prompt="Enter the Plan Adjusted Index Rate for each plan during the experience period as a dollar amount greater than or equal to 0." sqref="G55">
      <formula1>0</formula1>
    </dataValidation>
    <dataValidation type="whole" operator="greaterThanOrEqual" allowBlank="1" showInputMessage="1" showErrorMessage="1" errorTitle="Value not valid" error="Enter a whole number value greater than or equal to 0." prompt="Enter the total member months during the experience period (whole number value greater than or equal to 0)." sqref="G56">
      <formula1>0</formula1>
    </dataValidation>
    <dataValidation type="decimal" allowBlank="1" showInputMessage="1" showErrorMessage="1" errorTitle="Value not valid" error="Enter a percentage with up to 2 decimal points." promptTitle="Required:" prompt="Enter the average change in premium rates over the twelve month period prior to the effective date for the plan as a percentage with up to 2 decimal points." sqref="G27">
      <formula1>-999</formula1>
      <formula2>2000</formula2>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premium that is associated with EHB services in the plan as a percentage greater than zero, with up to two decimal points." sqref="G84">
      <formula1>0</formula1>
    </dataValidation>
    <dataValidation type="decimal" allowBlank="1" showInputMessage="1" showErrorMessage="1" errorTitle="Value not valid" error="Enter a percentage greater than or equal to 0 and lessser than or equal to 1." promptTitle="Required if Member Months &gt; 0:" prompt="Enter the percentage of the total premium for each plan that is associated with state mandated benefits that are not part of the EHB package as a percentage between 0 and 1, with up to two decimal points." sqref="G85">
      <formula1>0</formula1>
      <formula2>1</formula2>
    </dataValidation>
    <dataValidation type="decimal" operator="greaterThanOrEqual" allowBlank="1" showInputMessage="1" showErrorMessage="1" errorTitle="Value not valid" error="Enter a dollar value greater than or equal to 0." promptTitle="Required if Member Months &gt; 0:" prompt="Enter the total allowed claims for the benefit plan with service dates within the experience period as a dollar value greater than or equal to 0. " sqref="G61 G87">
      <formula1>0</formula1>
    </dataValidation>
    <dataValidation type="decimal" allowBlank="1" showInputMessage="1" showErrorMessage="1" errorTitle="Value not valid" error="Enter a percentage greater than or equal to 0 and lesser than or equal to 1." promptTitle="Required if Member Months &gt; 0:" prompt="Enter the percentage of the total allowed claims that are associated with EHB services in each plan during the experience period as a percentage between 0 and 1, with up to 2 decimal places." sqref="G62:G63 G89">
      <formula1>0</formula1>
      <formula2>1</formula2>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91">
      <formula1>ISNUMBER(G$91)</formula1>
    </dataValidation>
    <dataValidation type="decimal" operator="greaterThanOrEqual" allowBlank="1" showInputMessage="1" showErrorMessage="1" errorTitle="Value not valid" error="Enter a dollar value greater than or equal to 0." prompt="Enter the portion of the total dollars that are attributable to HHS during the experience period as a dollar value greater than or equal to 0." sqref="G92">
      <formula1>0</formula1>
    </dataValidation>
    <dataValidation operator="greaterThanOrEqual" allowBlank="1" showInputMessage="1" showErrorMessage="1" errorTitle="Value not valid" error="Enter a dollar value greater than or equal to 0." prompt="Enter the Net amount of Rein as a dollar value. Enter 0 for plans effective on or after January 1, 2017." sqref="G96"/>
    <dataValidation operator="greaterThanOrEqual" allowBlank="1" showInputMessage="1" showErrorMessage="1" errorTitle="Value not valid" error="Enter a dollar value greater than or equal to 0." prompt="Enter the Net amount of Risk Adj. as a dollar value." sqref="G97"/>
    <dataValidation type="decimal" allowBlank="1" showInputMessage="1" showErrorMessage="1" errorTitle="Value not valid" error="Enter a percentage greater than or equal to 0 and lesser than or equal to 1." prompt="Enter the percentage of the total premium that is associated with EHB services in the plan as a percentage between 0 and 1, with up to two decimal points." sqref="G58">
      <formula1>0</formula1>
      <formula2>1</formula2>
    </dataValidation>
    <dataValidation type="decimal" allowBlank="1" showInputMessage="1" showErrorMessage="1" errorTitle="Value not valid" error="Enter a percentage greater than or equal to 0 and lesser than or equal to 1." prompt="Enter the percentage of the total premium for each plan that is associated with state mandated benefits that are not part of the EHB package as a percentage between 0 and 1, with up to two decimal points." sqref="G59">
      <formula1>0</formula1>
      <formula2>1</formula2>
    </dataValidation>
    <dataValidation type="decimal" operator="greaterThanOrEqual" allowBlank="1" showInputMessage="1" showErrorMessage="1" errorTitle="Value not valid" error="Enter a dollar value greater than or equal to 0." prompt="Enter a dollar value greater than or equal to 0." sqref="G66">
      <formula1>0</formula1>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allowed claims that are associated with EHB services in each plan during the experience period as a percentage greater than 0, with up to 2 decimal places." sqref="G88">
      <formula1>0</formula1>
    </dataValidation>
    <dataValidation type="decimal" operator="greaterThanOrEqual" allowBlank="1" showInputMessage="1" showErrorMessage="1" errorTitle="Value not valid" error="Enter a dollar value greater than or equal to 0." promptTitle="Required if Member Months &gt; 0:" prompt="Enter the Plan Adjusted Index Rate as a dollar amount greater than or equal to 0." sqref="G81">
      <formula1>0</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65">
      <formula1>ISNUMBER(G$65)</formula1>
    </dataValidation>
    <dataValidation type="list" operator="greaterThan" allowBlank="1" showInputMessage="1" showErrorMessage="1" errorTitle="Value not valid" error="Select a value from the list." promptTitle="Required:" prompt="Select the plan category for the designated plan." sqref="G17">
      <formula1>CategoryList</formula1>
    </dataValidation>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57">
      <formula1>0</formula1>
    </dataValidation>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83">
      <formula1>0</formula1>
    </dataValidation>
    <dataValidation operator="greaterThanOrEqual" allowBlank="1" showInputMessage="1" showErrorMessage="1" errorTitle="Value not valid" error="Enter a dollar value greater than or equal to 0." prompt="Enter the Net amount of Rein as a dollar value." sqref="G70"/>
    <dataValidation operator="greaterThanOrEqual" allowBlank="1" showInputMessage="1" showErrorMessage="1" errorTitle="Value not valid" error="Enter a dollar value greater than or equal to 0." prompt="Enter the Net amount of Risk Adj. as a dollar value." sqref="G71"/>
  </dataValidations>
  <pageMargins left="0.7" right="0.7" top="0.75" bottom="0.75" header="0.3" footer="0.3"/>
  <pageSetup scale="41"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11"/>
  <sheetViews>
    <sheetView workbookViewId="0">
      <selection activeCell="A17" sqref="A17"/>
    </sheetView>
  </sheetViews>
  <sheetFormatPr defaultColWidth="107.6640625" defaultRowHeight="11.4" customHeight="1" x14ac:dyDescent="0.3"/>
  <sheetData>
    <row r="1" spans="1:1" ht="11.4" customHeight="1" x14ac:dyDescent="0.3">
      <c r="A1" s="248" t="s">
        <v>165</v>
      </c>
    </row>
    <row r="2" spans="1:1" ht="11.4" customHeight="1" x14ac:dyDescent="0.3">
      <c r="A2" s="248" t="s">
        <v>166</v>
      </c>
    </row>
    <row r="3" spans="1:1" ht="11.4" customHeight="1" x14ac:dyDescent="0.3">
      <c r="A3" s="248" t="s">
        <v>167</v>
      </c>
    </row>
    <row r="4" spans="1:1" ht="11.4" customHeight="1" x14ac:dyDescent="0.3">
      <c r="A4" s="248" t="s">
        <v>168</v>
      </c>
    </row>
    <row r="5" spans="1:1" ht="11.4" customHeight="1" x14ac:dyDescent="0.3">
      <c r="A5" s="248" t="s">
        <v>169</v>
      </c>
    </row>
    <row r="6" spans="1:1" ht="11.4" customHeight="1" x14ac:dyDescent="0.3">
      <c r="A6" s="248" t="s">
        <v>170</v>
      </c>
    </row>
    <row r="7" spans="1:1" ht="11.4" customHeight="1" x14ac:dyDescent="0.3">
      <c r="A7" s="248" t="s">
        <v>171</v>
      </c>
    </row>
    <row r="8" spans="1:1" ht="11.4" customHeight="1" x14ac:dyDescent="0.3">
      <c r="A8" s="248" t="s">
        <v>172</v>
      </c>
    </row>
    <row r="9" spans="1:1" ht="11.4" customHeight="1" x14ac:dyDescent="0.3">
      <c r="A9" s="248" t="s">
        <v>173</v>
      </c>
    </row>
    <row r="10" spans="1:1" ht="11.4" customHeight="1" x14ac:dyDescent="0.3">
      <c r="A10" s="248" t="s">
        <v>174</v>
      </c>
    </row>
    <row r="11" spans="1:1" ht="11.4" customHeight="1" x14ac:dyDescent="0.3">
      <c r="A11" s="248"/>
    </row>
    <row r="12" spans="1:1" ht="11.4" customHeight="1" x14ac:dyDescent="0.3">
      <c r="A12" s="248"/>
    </row>
    <row r="13" spans="1:1" ht="11.4" customHeight="1" x14ac:dyDescent="0.3">
      <c r="A13" s="248"/>
    </row>
    <row r="14" spans="1:1" ht="11.4" customHeight="1" x14ac:dyDescent="0.3">
      <c r="A14" s="248"/>
    </row>
    <row r="15" spans="1:1" ht="11.4" customHeight="1" x14ac:dyDescent="0.3">
      <c r="A15" s="248"/>
    </row>
    <row r="16" spans="1:1" ht="11.4" customHeight="1" x14ac:dyDescent="0.3">
      <c r="A16" s="248"/>
    </row>
    <row r="17" spans="1:1" ht="11.4" customHeight="1" x14ac:dyDescent="0.3">
      <c r="A17" s="248"/>
    </row>
    <row r="18" spans="1:1" ht="11.4" customHeight="1" x14ac:dyDescent="0.3">
      <c r="A18" s="248"/>
    </row>
    <row r="19" spans="1:1" ht="11.4" customHeight="1" x14ac:dyDescent="0.3">
      <c r="A19" s="248"/>
    </row>
    <row r="20" spans="1:1" ht="11.4" customHeight="1" x14ac:dyDescent="0.3">
      <c r="A20" s="248"/>
    </row>
    <row r="21" spans="1:1" ht="11.4" customHeight="1" x14ac:dyDescent="0.3">
      <c r="A21" s="248"/>
    </row>
    <row r="22" spans="1:1" ht="11.4" customHeight="1" x14ac:dyDescent="0.3">
      <c r="A22" s="248"/>
    </row>
    <row r="23" spans="1:1" ht="11.4" customHeight="1" x14ac:dyDescent="0.3">
      <c r="A23" s="248"/>
    </row>
    <row r="24" spans="1:1" ht="11.4" customHeight="1" x14ac:dyDescent="0.3">
      <c r="A24" s="248"/>
    </row>
    <row r="25" spans="1:1" ht="11.4" customHeight="1" x14ac:dyDescent="0.3">
      <c r="A25" s="248"/>
    </row>
    <row r="26" spans="1:1" ht="11.4" customHeight="1" x14ac:dyDescent="0.3">
      <c r="A26" s="248"/>
    </row>
    <row r="27" spans="1:1" ht="11.4" customHeight="1" x14ac:dyDescent="0.3">
      <c r="A27" s="248"/>
    </row>
    <row r="28" spans="1:1" ht="11.4" customHeight="1" x14ac:dyDescent="0.3">
      <c r="A28" s="248"/>
    </row>
    <row r="29" spans="1:1" ht="11.4" customHeight="1" x14ac:dyDescent="0.3">
      <c r="A29" s="248"/>
    </row>
    <row r="30" spans="1:1" ht="11.4" customHeight="1" x14ac:dyDescent="0.3">
      <c r="A30" s="248"/>
    </row>
    <row r="31" spans="1:1" ht="11.4" customHeight="1" x14ac:dyDescent="0.3">
      <c r="A31" s="248"/>
    </row>
    <row r="32" spans="1:1" ht="11.4" customHeight="1" x14ac:dyDescent="0.3">
      <c r="A32" s="248"/>
    </row>
    <row r="33" spans="1:1" ht="11.4" customHeight="1" x14ac:dyDescent="0.3">
      <c r="A33" s="248"/>
    </row>
    <row r="34" spans="1:1" ht="11.4" customHeight="1" x14ac:dyDescent="0.3">
      <c r="A34" s="248"/>
    </row>
    <row r="35" spans="1:1" ht="11.4" customHeight="1" x14ac:dyDescent="0.3">
      <c r="A35" s="248"/>
    </row>
    <row r="36" spans="1:1" ht="11.4" customHeight="1" x14ac:dyDescent="0.3">
      <c r="A36" s="248"/>
    </row>
    <row r="37" spans="1:1" ht="11.4" customHeight="1" x14ac:dyDescent="0.3">
      <c r="A37" s="248"/>
    </row>
    <row r="38" spans="1:1" ht="11.4" customHeight="1" x14ac:dyDescent="0.3">
      <c r="A38" s="248"/>
    </row>
    <row r="39" spans="1:1" ht="11.4" customHeight="1" x14ac:dyDescent="0.3">
      <c r="A39" s="248"/>
    </row>
    <row r="40" spans="1:1" ht="11.4" customHeight="1" x14ac:dyDescent="0.3">
      <c r="A40" s="248"/>
    </row>
    <row r="41" spans="1:1" ht="11.4" customHeight="1" x14ac:dyDescent="0.3">
      <c r="A41" s="248"/>
    </row>
    <row r="42" spans="1:1" ht="11.4" customHeight="1" x14ac:dyDescent="0.3">
      <c r="A42" s="248"/>
    </row>
    <row r="43" spans="1:1" ht="11.4" customHeight="1" x14ac:dyDescent="0.3">
      <c r="A43" s="248"/>
    </row>
    <row r="44" spans="1:1" ht="11.4" customHeight="1" x14ac:dyDescent="0.3">
      <c r="A44" s="248"/>
    </row>
    <row r="45" spans="1:1" ht="11.4" customHeight="1" x14ac:dyDescent="0.3">
      <c r="A45" s="248"/>
    </row>
    <row r="46" spans="1:1" ht="11.4" customHeight="1" x14ac:dyDescent="0.3">
      <c r="A46" s="248"/>
    </row>
    <row r="47" spans="1:1" ht="11.4" customHeight="1" x14ac:dyDescent="0.3">
      <c r="A47" s="248"/>
    </row>
    <row r="48" spans="1:1" ht="11.4" customHeight="1" x14ac:dyDescent="0.3">
      <c r="A48" s="248"/>
    </row>
    <row r="49" spans="1:1" ht="11.4" customHeight="1" x14ac:dyDescent="0.3">
      <c r="A49" s="248"/>
    </row>
    <row r="50" spans="1:1" ht="11.4" customHeight="1" x14ac:dyDescent="0.3">
      <c r="A50" s="248"/>
    </row>
    <row r="51" spans="1:1" ht="11.4" customHeight="1" x14ac:dyDescent="0.3">
      <c r="A51" s="248"/>
    </row>
    <row r="52" spans="1:1" ht="11.4" customHeight="1" x14ac:dyDescent="0.3">
      <c r="A52" s="248"/>
    </row>
    <row r="53" spans="1:1" ht="11.4" customHeight="1" x14ac:dyDescent="0.3">
      <c r="A53" s="248"/>
    </row>
    <row r="54" spans="1:1" ht="11.4" customHeight="1" x14ac:dyDescent="0.3">
      <c r="A54" s="248"/>
    </row>
    <row r="55" spans="1:1" ht="11.4" customHeight="1" x14ac:dyDescent="0.3">
      <c r="A55" s="248"/>
    </row>
    <row r="56" spans="1:1" ht="11.4" customHeight="1" x14ac:dyDescent="0.3">
      <c r="A56" s="248"/>
    </row>
    <row r="57" spans="1:1" ht="11.4" customHeight="1" x14ac:dyDescent="0.3">
      <c r="A57" s="248"/>
    </row>
    <row r="58" spans="1:1" ht="11.4" customHeight="1" x14ac:dyDescent="0.3">
      <c r="A58" s="248"/>
    </row>
    <row r="59" spans="1:1" ht="11.4" customHeight="1" x14ac:dyDescent="0.3">
      <c r="A59" s="248"/>
    </row>
    <row r="60" spans="1:1" ht="11.4" customHeight="1" x14ac:dyDescent="0.3">
      <c r="A60" s="248"/>
    </row>
    <row r="61" spans="1:1" ht="11.4" customHeight="1" x14ac:dyDescent="0.3">
      <c r="A61" s="248"/>
    </row>
    <row r="62" spans="1:1" ht="11.4" customHeight="1" x14ac:dyDescent="0.3">
      <c r="A62" s="248"/>
    </row>
    <row r="63" spans="1:1" ht="11.4" customHeight="1" x14ac:dyDescent="0.3">
      <c r="A63" s="248"/>
    </row>
    <row r="64" spans="1:1" ht="11.4" customHeight="1" x14ac:dyDescent="0.3">
      <c r="A64" s="248"/>
    </row>
    <row r="65" spans="1:1" ht="11.4" customHeight="1" x14ac:dyDescent="0.3">
      <c r="A65" s="248"/>
    </row>
    <row r="66" spans="1:1" ht="11.4" customHeight="1" x14ac:dyDescent="0.3">
      <c r="A66" s="248"/>
    </row>
    <row r="67" spans="1:1" ht="11.4" customHeight="1" x14ac:dyDescent="0.3">
      <c r="A67" s="248"/>
    </row>
    <row r="68" spans="1:1" ht="11.4" customHeight="1" x14ac:dyDescent="0.3">
      <c r="A68" s="248"/>
    </row>
    <row r="69" spans="1:1" ht="11.4" customHeight="1" x14ac:dyDescent="0.3">
      <c r="A69" s="248"/>
    </row>
    <row r="70" spans="1:1" ht="11.4" customHeight="1" x14ac:dyDescent="0.3">
      <c r="A70" s="248"/>
    </row>
    <row r="71" spans="1:1" ht="11.4" customHeight="1" x14ac:dyDescent="0.3">
      <c r="A71" s="248"/>
    </row>
    <row r="72" spans="1:1" ht="11.4" customHeight="1" x14ac:dyDescent="0.3">
      <c r="A72" s="248"/>
    </row>
    <row r="73" spans="1:1" ht="11.4" customHeight="1" x14ac:dyDescent="0.3">
      <c r="A73" s="248"/>
    </row>
    <row r="74" spans="1:1" ht="11.4" customHeight="1" x14ac:dyDescent="0.3">
      <c r="A74" s="248"/>
    </row>
    <row r="75" spans="1:1" ht="11.4" customHeight="1" x14ac:dyDescent="0.3">
      <c r="A75" s="248"/>
    </row>
    <row r="76" spans="1:1" ht="11.4" customHeight="1" x14ac:dyDescent="0.3">
      <c r="A76" s="248"/>
    </row>
    <row r="77" spans="1:1" ht="11.4" customHeight="1" x14ac:dyDescent="0.3">
      <c r="A77" s="248"/>
    </row>
    <row r="78" spans="1:1" ht="11.4" customHeight="1" x14ac:dyDescent="0.3">
      <c r="A78" s="248"/>
    </row>
    <row r="79" spans="1:1" ht="11.4" customHeight="1" x14ac:dyDescent="0.3">
      <c r="A79" s="248"/>
    </row>
    <row r="80" spans="1:1" ht="11.4" customHeight="1" x14ac:dyDescent="0.3">
      <c r="A80" s="248"/>
    </row>
    <row r="81" spans="1:1" ht="11.4" customHeight="1" x14ac:dyDescent="0.3">
      <c r="A81" s="248"/>
    </row>
    <row r="82" spans="1:1" ht="11.4" customHeight="1" x14ac:dyDescent="0.3">
      <c r="A82" s="248"/>
    </row>
    <row r="83" spans="1:1" ht="11.4" customHeight="1" x14ac:dyDescent="0.3">
      <c r="A83" s="248"/>
    </row>
    <row r="84" spans="1:1" ht="11.4" customHeight="1" x14ac:dyDescent="0.3">
      <c r="A84" s="248"/>
    </row>
    <row r="85" spans="1:1" ht="11.4" customHeight="1" x14ac:dyDescent="0.3">
      <c r="A85" s="248"/>
    </row>
    <row r="86" spans="1:1" ht="11.4" customHeight="1" x14ac:dyDescent="0.3">
      <c r="A86" s="248"/>
    </row>
    <row r="87" spans="1:1" ht="11.4" customHeight="1" x14ac:dyDescent="0.3">
      <c r="A87" s="248"/>
    </row>
    <row r="88" spans="1:1" ht="11.4" customHeight="1" x14ac:dyDescent="0.3">
      <c r="A88" s="248"/>
    </row>
    <row r="89" spans="1:1" ht="11.4" customHeight="1" x14ac:dyDescent="0.3">
      <c r="A89" s="248"/>
    </row>
    <row r="90" spans="1:1" ht="11.4" customHeight="1" x14ac:dyDescent="0.3">
      <c r="A90" s="248"/>
    </row>
    <row r="91" spans="1:1" ht="11.4" customHeight="1" x14ac:dyDescent="0.3">
      <c r="A91" s="248"/>
    </row>
    <row r="92" spans="1:1" ht="11.4" customHeight="1" x14ac:dyDescent="0.3">
      <c r="A92" s="248"/>
    </row>
    <row r="93" spans="1:1" ht="11.4" customHeight="1" x14ac:dyDescent="0.3">
      <c r="A93" s="248"/>
    </row>
    <row r="94" spans="1:1" ht="11.4" customHeight="1" x14ac:dyDescent="0.3">
      <c r="A94" s="248"/>
    </row>
    <row r="95" spans="1:1" ht="11.4" customHeight="1" x14ac:dyDescent="0.3">
      <c r="A95" s="248"/>
    </row>
    <row r="96" spans="1:1" ht="11.4" customHeight="1" x14ac:dyDescent="0.3">
      <c r="A96" s="248"/>
    </row>
    <row r="97" spans="1:1" ht="11.4" customHeight="1" x14ac:dyDescent="0.3">
      <c r="A97" s="248"/>
    </row>
    <row r="98" spans="1:1" ht="11.4" customHeight="1" x14ac:dyDescent="0.3">
      <c r="A98" s="248"/>
    </row>
    <row r="99" spans="1:1" ht="11.4" customHeight="1" x14ac:dyDescent="0.3">
      <c r="A99" s="248"/>
    </row>
    <row r="100" spans="1:1" ht="11.4" customHeight="1" x14ac:dyDescent="0.3">
      <c r="A100" s="248"/>
    </row>
    <row r="101" spans="1:1" ht="11.4" customHeight="1" x14ac:dyDescent="0.3">
      <c r="A101" s="248"/>
    </row>
    <row r="102" spans="1:1" ht="11.4" customHeight="1" x14ac:dyDescent="0.3">
      <c r="A102" s="248"/>
    </row>
    <row r="103" spans="1:1" ht="11.4" customHeight="1" x14ac:dyDescent="0.3">
      <c r="A103" s="248"/>
    </row>
    <row r="104" spans="1:1" ht="11.4" customHeight="1" x14ac:dyDescent="0.3">
      <c r="A104" s="248"/>
    </row>
    <row r="105" spans="1:1" ht="11.4" customHeight="1" x14ac:dyDescent="0.3">
      <c r="A105" s="248"/>
    </row>
    <row r="106" spans="1:1" ht="11.4" customHeight="1" x14ac:dyDescent="0.3">
      <c r="A106" s="248"/>
    </row>
    <row r="107" spans="1:1" ht="11.4" customHeight="1" x14ac:dyDescent="0.3">
      <c r="A107" s="248"/>
    </row>
    <row r="108" spans="1:1" ht="11.4" customHeight="1" x14ac:dyDescent="0.3">
      <c r="A108" s="248"/>
    </row>
    <row r="109" spans="1:1" ht="11.4" customHeight="1" x14ac:dyDescent="0.3">
      <c r="A109" s="248"/>
    </row>
    <row r="110" spans="1:1" ht="11.4" customHeight="1" x14ac:dyDescent="0.3">
      <c r="A110" s="248"/>
    </row>
    <row r="111" spans="1:1" ht="11.4" customHeight="1" x14ac:dyDescent="0.3">
      <c r="A111" s="248"/>
    </row>
    <row r="112" spans="1:1" ht="11.4" customHeight="1" x14ac:dyDescent="0.3">
      <c r="A112" s="248"/>
    </row>
    <row r="113" spans="1:1" ht="11.4" customHeight="1" x14ac:dyDescent="0.3">
      <c r="A113" s="248"/>
    </row>
    <row r="114" spans="1:1" ht="11.4" customHeight="1" x14ac:dyDescent="0.3">
      <c r="A114" s="248"/>
    </row>
    <row r="115" spans="1:1" ht="11.4" customHeight="1" x14ac:dyDescent="0.3">
      <c r="A115" s="248"/>
    </row>
    <row r="116" spans="1:1" ht="11.4" customHeight="1" x14ac:dyDescent="0.3">
      <c r="A116" s="248"/>
    </row>
    <row r="117" spans="1:1" ht="11.4" customHeight="1" x14ac:dyDescent="0.3">
      <c r="A117" s="248"/>
    </row>
    <row r="118" spans="1:1" ht="11.4" customHeight="1" x14ac:dyDescent="0.3">
      <c r="A118" s="248"/>
    </row>
    <row r="119" spans="1:1" ht="11.4" customHeight="1" x14ac:dyDescent="0.3">
      <c r="A119" s="248"/>
    </row>
    <row r="120" spans="1:1" ht="11.4" customHeight="1" x14ac:dyDescent="0.3">
      <c r="A120" s="248"/>
    </row>
    <row r="121" spans="1:1" ht="11.4" customHeight="1" x14ac:dyDescent="0.3">
      <c r="A121" s="248"/>
    </row>
    <row r="122" spans="1:1" ht="11.4" customHeight="1" x14ac:dyDescent="0.3">
      <c r="A122" s="248"/>
    </row>
    <row r="123" spans="1:1" ht="11.4" customHeight="1" x14ac:dyDescent="0.3">
      <c r="A123" s="248"/>
    </row>
    <row r="124" spans="1:1" ht="11.4" customHeight="1" x14ac:dyDescent="0.3">
      <c r="A124" s="248"/>
    </row>
    <row r="125" spans="1:1" ht="11.4" customHeight="1" x14ac:dyDescent="0.3">
      <c r="A125" s="248"/>
    </row>
    <row r="126" spans="1:1" ht="11.4" customHeight="1" x14ac:dyDescent="0.3">
      <c r="A126" s="248"/>
    </row>
    <row r="127" spans="1:1" ht="11.4" customHeight="1" x14ac:dyDescent="0.3">
      <c r="A127" s="248"/>
    </row>
    <row r="128" spans="1:1" ht="11.4" customHeight="1" x14ac:dyDescent="0.3">
      <c r="A128" s="248"/>
    </row>
    <row r="129" spans="1:1" ht="11.4" customHeight="1" x14ac:dyDescent="0.3">
      <c r="A129" s="248"/>
    </row>
    <row r="130" spans="1:1" ht="11.4" customHeight="1" x14ac:dyDescent="0.3">
      <c r="A130" s="248"/>
    </row>
    <row r="131" spans="1:1" ht="11.4" customHeight="1" x14ac:dyDescent="0.3">
      <c r="A131" s="248"/>
    </row>
    <row r="132" spans="1:1" ht="11.4" customHeight="1" x14ac:dyDescent="0.3">
      <c r="A132" s="248"/>
    </row>
    <row r="133" spans="1:1" ht="11.4" customHeight="1" x14ac:dyDescent="0.3">
      <c r="A133" s="248"/>
    </row>
    <row r="134" spans="1:1" ht="11.4" customHeight="1" x14ac:dyDescent="0.3">
      <c r="A134" s="248"/>
    </row>
    <row r="135" spans="1:1" ht="11.4" customHeight="1" x14ac:dyDescent="0.3">
      <c r="A135" s="248"/>
    </row>
    <row r="136" spans="1:1" ht="11.4" customHeight="1" x14ac:dyDescent="0.3">
      <c r="A136" s="248"/>
    </row>
    <row r="137" spans="1:1" ht="11.4" customHeight="1" x14ac:dyDescent="0.3">
      <c r="A137" s="248"/>
    </row>
    <row r="138" spans="1:1" ht="11.4" customHeight="1" x14ac:dyDescent="0.3">
      <c r="A138" s="248"/>
    </row>
    <row r="139" spans="1:1" ht="11.4" customHeight="1" x14ac:dyDescent="0.3">
      <c r="A139" s="248"/>
    </row>
    <row r="140" spans="1:1" ht="11.4" customHeight="1" x14ac:dyDescent="0.3">
      <c r="A140" s="248"/>
    </row>
    <row r="141" spans="1:1" ht="11.4" customHeight="1" x14ac:dyDescent="0.3">
      <c r="A141" s="248"/>
    </row>
    <row r="142" spans="1:1" ht="11.4" customHeight="1" x14ac:dyDescent="0.3">
      <c r="A142" s="248"/>
    </row>
    <row r="143" spans="1:1" ht="11.4" customHeight="1" x14ac:dyDescent="0.3">
      <c r="A143" s="248"/>
    </row>
    <row r="144" spans="1:1" ht="11.4" customHeight="1" x14ac:dyDescent="0.3">
      <c r="A144" s="248"/>
    </row>
    <row r="145" spans="1:1" ht="11.4" customHeight="1" x14ac:dyDescent="0.3">
      <c r="A145" s="248"/>
    </row>
    <row r="146" spans="1:1" ht="11.4" customHeight="1" x14ac:dyDescent="0.3">
      <c r="A146" s="248"/>
    </row>
    <row r="147" spans="1:1" ht="11.4" customHeight="1" x14ac:dyDescent="0.3">
      <c r="A147" s="248"/>
    </row>
    <row r="148" spans="1:1" ht="11.4" customHeight="1" x14ac:dyDescent="0.3">
      <c r="A148" s="248"/>
    </row>
    <row r="149" spans="1:1" ht="11.4" customHeight="1" x14ac:dyDescent="0.3">
      <c r="A149" s="248"/>
    </row>
    <row r="150" spans="1:1" ht="11.4" customHeight="1" x14ac:dyDescent="0.3">
      <c r="A150" s="248"/>
    </row>
    <row r="151" spans="1:1" ht="11.4" customHeight="1" x14ac:dyDescent="0.3">
      <c r="A151" s="248"/>
    </row>
    <row r="152" spans="1:1" ht="11.4" customHeight="1" x14ac:dyDescent="0.3">
      <c r="A152" s="248"/>
    </row>
    <row r="153" spans="1:1" ht="11.4" customHeight="1" x14ac:dyDescent="0.3">
      <c r="A153" s="248"/>
    </row>
    <row r="154" spans="1:1" ht="11.4" customHeight="1" x14ac:dyDescent="0.3">
      <c r="A154" s="248"/>
    </row>
    <row r="155" spans="1:1" ht="11.4" customHeight="1" x14ac:dyDescent="0.3">
      <c r="A155" s="248"/>
    </row>
    <row r="156" spans="1:1" ht="11.4" customHeight="1" x14ac:dyDescent="0.3">
      <c r="A156" s="248"/>
    </row>
    <row r="157" spans="1:1" ht="11.4" customHeight="1" x14ac:dyDescent="0.3">
      <c r="A157" s="248"/>
    </row>
    <row r="158" spans="1:1" ht="11.4" customHeight="1" x14ac:dyDescent="0.3">
      <c r="A158" s="248"/>
    </row>
    <row r="159" spans="1:1" ht="11.4" customHeight="1" x14ac:dyDescent="0.3">
      <c r="A159" s="248"/>
    </row>
    <row r="160" spans="1:1" ht="11.4" customHeight="1" x14ac:dyDescent="0.3">
      <c r="A160" s="248"/>
    </row>
    <row r="161" spans="1:1" ht="11.4" customHeight="1" x14ac:dyDescent="0.3">
      <c r="A161" s="248"/>
    </row>
    <row r="162" spans="1:1" ht="11.4" customHeight="1" x14ac:dyDescent="0.3">
      <c r="A162" s="248"/>
    </row>
    <row r="163" spans="1:1" ht="11.4" customHeight="1" x14ac:dyDescent="0.3">
      <c r="A163" s="248"/>
    </row>
    <row r="164" spans="1:1" ht="11.4" customHeight="1" x14ac:dyDescent="0.3">
      <c r="A164" s="248"/>
    </row>
    <row r="165" spans="1:1" ht="11.4" customHeight="1" x14ac:dyDescent="0.3">
      <c r="A165" s="248"/>
    </row>
    <row r="166" spans="1:1" ht="11.4" customHeight="1" x14ac:dyDescent="0.3">
      <c r="A166" s="248"/>
    </row>
    <row r="167" spans="1:1" ht="11.4" customHeight="1" x14ac:dyDescent="0.3">
      <c r="A167" s="248"/>
    </row>
    <row r="168" spans="1:1" ht="11.4" customHeight="1" x14ac:dyDescent="0.3">
      <c r="A168" s="248"/>
    </row>
    <row r="169" spans="1:1" ht="11.4" customHeight="1" x14ac:dyDescent="0.3">
      <c r="A169" s="248"/>
    </row>
    <row r="170" spans="1:1" ht="11.4" customHeight="1" x14ac:dyDescent="0.3">
      <c r="A170" s="248"/>
    </row>
    <row r="171" spans="1:1" ht="11.4" customHeight="1" x14ac:dyDescent="0.3">
      <c r="A171" s="248"/>
    </row>
    <row r="172" spans="1:1" ht="11.4" customHeight="1" x14ac:dyDescent="0.3">
      <c r="A172" s="248"/>
    </row>
    <row r="173" spans="1:1" ht="11.4" customHeight="1" x14ac:dyDescent="0.3">
      <c r="A173" s="248"/>
    </row>
    <row r="174" spans="1:1" ht="11.4" customHeight="1" x14ac:dyDescent="0.3">
      <c r="A174" s="248"/>
    </row>
    <row r="175" spans="1:1" ht="11.4" customHeight="1" x14ac:dyDescent="0.3">
      <c r="A175" s="248"/>
    </row>
    <row r="176" spans="1:1" ht="11.4" customHeight="1" x14ac:dyDescent="0.3">
      <c r="A176" s="248"/>
    </row>
    <row r="177" spans="1:1" ht="11.4" customHeight="1" x14ac:dyDescent="0.3">
      <c r="A177" s="248"/>
    </row>
    <row r="178" spans="1:1" ht="11.4" customHeight="1" x14ac:dyDescent="0.3">
      <c r="A178" s="248"/>
    </row>
    <row r="179" spans="1:1" ht="11.4" customHeight="1" x14ac:dyDescent="0.3">
      <c r="A179" s="248"/>
    </row>
    <row r="180" spans="1:1" ht="11.4" customHeight="1" x14ac:dyDescent="0.3">
      <c r="A180" s="248"/>
    </row>
    <row r="181" spans="1:1" ht="11.4" customHeight="1" x14ac:dyDescent="0.3">
      <c r="A181" s="248"/>
    </row>
    <row r="182" spans="1:1" ht="11.4" customHeight="1" x14ac:dyDescent="0.3">
      <c r="A182" s="248"/>
    </row>
    <row r="183" spans="1:1" ht="11.4" customHeight="1" x14ac:dyDescent="0.3">
      <c r="A183" s="248"/>
    </row>
    <row r="184" spans="1:1" ht="11.4" customHeight="1" x14ac:dyDescent="0.3">
      <c r="A184" s="248"/>
    </row>
    <row r="185" spans="1:1" ht="11.4" customHeight="1" x14ac:dyDescent="0.3">
      <c r="A185" s="248"/>
    </row>
    <row r="186" spans="1:1" ht="11.4" customHeight="1" x14ac:dyDescent="0.3">
      <c r="A186" s="248"/>
    </row>
    <row r="187" spans="1:1" ht="11.4" customHeight="1" x14ac:dyDescent="0.3">
      <c r="A187" s="248"/>
    </row>
    <row r="188" spans="1:1" ht="11.4" customHeight="1" x14ac:dyDescent="0.3">
      <c r="A188" s="248"/>
    </row>
    <row r="189" spans="1:1" ht="11.4" customHeight="1" x14ac:dyDescent="0.3">
      <c r="A189" s="248"/>
    </row>
    <row r="190" spans="1:1" ht="11.4" customHeight="1" x14ac:dyDescent="0.3">
      <c r="A190" s="248"/>
    </row>
    <row r="191" spans="1:1" ht="11.4" customHeight="1" x14ac:dyDescent="0.3">
      <c r="A191" s="248"/>
    </row>
    <row r="192" spans="1:1" ht="11.4" customHeight="1" x14ac:dyDescent="0.3">
      <c r="A192" s="248"/>
    </row>
    <row r="193" spans="1:1" ht="11.4" customHeight="1" x14ac:dyDescent="0.3">
      <c r="A193" s="248"/>
    </row>
    <row r="194" spans="1:1" ht="11.4" customHeight="1" x14ac:dyDescent="0.3">
      <c r="A194" s="248"/>
    </row>
    <row r="195" spans="1:1" ht="11.4" customHeight="1" x14ac:dyDescent="0.3">
      <c r="A195" s="248"/>
    </row>
    <row r="196" spans="1:1" ht="11.4" customHeight="1" x14ac:dyDescent="0.3">
      <c r="A196" s="248"/>
    </row>
    <row r="197" spans="1:1" ht="11.4" customHeight="1" x14ac:dyDescent="0.3">
      <c r="A197" s="248"/>
    </row>
    <row r="198" spans="1:1" ht="11.4" customHeight="1" x14ac:dyDescent="0.3">
      <c r="A198" s="248"/>
    </row>
    <row r="199" spans="1:1" ht="11.4" customHeight="1" x14ac:dyDescent="0.3">
      <c r="A199" s="248"/>
    </row>
    <row r="200" spans="1:1" ht="11.4" customHeight="1" x14ac:dyDescent="0.3">
      <c r="A200" s="248"/>
    </row>
    <row r="201" spans="1:1" ht="11.4" customHeight="1" x14ac:dyDescent="0.3">
      <c r="A201" s="248"/>
    </row>
    <row r="202" spans="1:1" ht="11.4" customHeight="1" x14ac:dyDescent="0.3">
      <c r="A202" s="248"/>
    </row>
    <row r="203" spans="1:1" ht="11.4" customHeight="1" x14ac:dyDescent="0.3">
      <c r="A203" s="248"/>
    </row>
    <row r="204" spans="1:1" ht="11.4" customHeight="1" x14ac:dyDescent="0.3">
      <c r="A204" s="248"/>
    </row>
    <row r="205" spans="1:1" ht="11.4" customHeight="1" x14ac:dyDescent="0.3">
      <c r="A205" s="248"/>
    </row>
    <row r="206" spans="1:1" ht="11.4" customHeight="1" x14ac:dyDescent="0.3">
      <c r="A206" s="248"/>
    </row>
    <row r="207" spans="1:1" ht="11.4" customHeight="1" x14ac:dyDescent="0.3">
      <c r="A207" s="248"/>
    </row>
    <row r="208" spans="1:1" ht="11.4" customHeight="1" x14ac:dyDescent="0.3">
      <c r="A208" s="248"/>
    </row>
    <row r="209" spans="1:1" ht="11.4" customHeight="1" x14ac:dyDescent="0.3">
      <c r="A209" s="248"/>
    </row>
    <row r="210" spans="1:1" ht="11.4" customHeight="1" x14ac:dyDescent="0.3">
      <c r="A210" s="248"/>
    </row>
    <row r="211" spans="1:1" ht="11.4" customHeight="1" x14ac:dyDescent="0.3">
      <c r="A211" s="24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7" ma:contentTypeDescription="Create a new document." ma:contentTypeScope="" ma:versionID="a7b04a5db222da1138aa95159e958862">
  <xsd:schema xmlns:xsd="http://www.w3.org/2001/XMLSchema" xmlns:xs="http://www.w3.org/2001/XMLSchema" xmlns:p="http://schemas.microsoft.com/office/2006/metadata/properties" xmlns:ns1="http://schemas.microsoft.com/sharepoint/v3" xmlns:ns2="280e8d07-9461-4c4e-895a-3eca43e3694b" xmlns:ns3="9c6a2b74-e026-42b8-a021-582d892bcfcc" targetNamespace="http://schemas.microsoft.com/office/2006/metadata/properties" ma:root="true" ma:fieldsID="e835542a505cb900f382ab06ecd42b46" ns1:_="" ns2:_="" ns3:_="">
    <xsd:import namespace="http://schemas.microsoft.com/sharepoint/v3"/>
    <xsd:import namespace="280e8d07-9461-4c4e-895a-3eca43e3694b"/>
    <xsd:import namespace="9c6a2b74-e026-42b8-a021-582d892bcfcc"/>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A26A6A-6337-4ED7-A649-960EFD22D054}">
  <ds:schemaRefs>
    <ds:schemaRef ds:uri="http://schemas.openxmlformats.org/package/2006/metadata/core-properties"/>
    <ds:schemaRef ds:uri="http://purl.org/dc/terms/"/>
    <ds:schemaRef ds:uri="http://www.w3.org/XML/1998/namespace"/>
    <ds:schemaRef ds:uri="http://schemas.microsoft.com/office/infopath/2007/PartnerControls"/>
    <ds:schemaRef ds:uri="http://schemas.microsoft.com/office/2006/documentManagement/types"/>
    <ds:schemaRef ds:uri="http://purl.org/dc/elements/1.1/"/>
    <ds:schemaRef ds:uri="http://purl.org/dc/dcmitype/"/>
    <ds:schemaRef ds:uri="9c6a2b74-e026-42b8-a021-582d892bcfcc"/>
    <ds:schemaRef ds:uri="280e8d07-9461-4c4e-895a-3eca43e3694b"/>
    <ds:schemaRef ds:uri="http://schemas.microsoft.com/sharepoint/v3"/>
    <ds:schemaRef ds:uri="http://schemas.microsoft.com/office/2006/metadata/properties"/>
  </ds:schemaRefs>
</ds:datastoreItem>
</file>

<file path=customXml/itemProps2.xml><?xml version="1.0" encoding="utf-8"?>
<ds:datastoreItem xmlns:ds="http://schemas.openxmlformats.org/officeDocument/2006/customXml" ds:itemID="{B2B381E5-0FF6-4BCA-B6C5-7880D89364CE}">
  <ds:schemaRefs>
    <ds:schemaRef ds:uri="http://schemas.microsoft.com/sharepoint/v3/contenttype/forms"/>
  </ds:schemaRefs>
</ds:datastoreItem>
</file>

<file path=customXml/itemProps3.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4.xml><?xml version="1.0" encoding="utf-8"?>
<ds:datastoreItem xmlns:ds="http://schemas.openxmlformats.org/officeDocument/2006/customXml" ds:itemID="{B1EA8EA1-A1D4-4703-A4E3-70BD6633AE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Wksh 1 - Market Experience</vt:lpstr>
      <vt:lpstr>Wksh 2 - Plan Product Info</vt:lpstr>
      <vt:lpstr>PlanTemplate</vt:lpstr>
      <vt:lpstr>XMLOutput</vt:lpstr>
      <vt:lpstr>CategoryList</vt:lpstr>
      <vt:lpstr>DataEntryBlock</vt:lpstr>
      <vt:lpstr>FormulaBlock</vt:lpstr>
      <vt:lpstr>PlanTemplate!Print_Area</vt:lpstr>
      <vt:lpstr>'Wksh 1 - Market Experience'!Print_Area</vt:lpstr>
      <vt:lpstr>'Wksh 2 - Plan Product Info'!Print_Area</vt:lpstr>
      <vt:lpstr>StateList</vt:lpstr>
      <vt:lpstr>Util_No_ADB</vt:lpstr>
      <vt:lpstr>Util_No_ADP</vt:lpstr>
      <vt:lpstr>Util_No_ADPB</vt:lpstr>
      <vt:lpstr>Util_No_PB</vt:lpstr>
    </vt:vector>
  </TitlesOfParts>
  <Company>MMC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Unified Rate Review Template</dc:title>
  <dc:subject>Unified Rate Review</dc:subject>
  <dc:creator>Accenture Federal Services</dc:creator>
  <cp:keywords>Template, Unified, Rate, Review</cp:keywords>
  <dc:description>Version 1.6</dc:description>
  <cp:lastModifiedBy>Miranda J. Ross</cp:lastModifiedBy>
  <cp:lastPrinted>2013-03-05T21:55:11Z</cp:lastPrinted>
  <dcterms:created xsi:type="dcterms:W3CDTF">2012-02-03T16:54:29Z</dcterms:created>
  <dcterms:modified xsi:type="dcterms:W3CDTF">2017-06-15T23:43:39Z</dcterms:modified>
  <cp:contentStatus>Version 1.6</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ContentType">
    <vt:lpwstr>Document</vt:lpwstr>
  </property>
  <property fmtid="{D5CDD505-2E9C-101B-9397-08002B2CF9AE}" pid="5" name="Language">
    <vt:lpwstr>English</vt:lpwstr>
  </property>
</Properties>
</file>